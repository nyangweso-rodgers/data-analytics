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working-env\data-analytics\scripts\project-03\01-salesforce\02-rest-api\03-cds\"/>
    </mc:Choice>
  </mc:AlternateContent>
  <xr:revisionPtr revIDLastSave="0" documentId="13_ncr:1_{FD991D72-0A44-47CC-8A7D-78A67ABD2322}" xr6:coauthVersionLast="47" xr6:coauthVersionMax="47" xr10:uidLastSave="{00000000-0000-0000-0000-000000000000}"/>
  <bookViews>
    <workbookView xWindow="-103" yWindow="-103" windowWidth="33120" windowHeight="20057" xr2:uid="{9B7DC404-1039-400A-AE23-AE572EAC95A5}"/>
  </bookViews>
  <sheets>
    <sheet name="cds_fields_in_excel" sheetId="1" r:id="rId1"/>
  </sheets>
  <definedNames>
    <definedName name="_xlnm._FilterDatabase" localSheetId="0" hidden="1">cds_fields_in_excel!$A$1:$E$198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2" i="1"/>
</calcChain>
</file>

<file path=xl/sharedStrings.xml><?xml version="1.0" encoding="utf-8"?>
<sst xmlns="http://schemas.openxmlformats.org/spreadsheetml/2006/main" count="598" uniqueCount="222">
  <si>
    <t>Field Name</t>
  </si>
  <si>
    <t>Id</t>
  </si>
  <si>
    <t>id</t>
  </si>
  <si>
    <t>OwnerId</t>
  </si>
  <si>
    <t>reference</t>
  </si>
  <si>
    <t>IsDeleted</t>
  </si>
  <si>
    <t>boolean</t>
  </si>
  <si>
    <t>Name</t>
  </si>
  <si>
    <t>string</t>
  </si>
  <si>
    <t>CreatedDate</t>
  </si>
  <si>
    <t>datetime</t>
  </si>
  <si>
    <t>CreatedById</t>
  </si>
  <si>
    <t>LastModifiedDate</t>
  </si>
  <si>
    <t>LastModifiedById</t>
  </si>
  <si>
    <t>SystemModstamp</t>
  </si>
  <si>
    <t>LastActivityDate</t>
  </si>
  <si>
    <t>date</t>
  </si>
  <si>
    <t>LastViewedDate</t>
  </si>
  <si>
    <t>LastReferencedDate</t>
  </si>
  <si>
    <t>Number_of_Cows__c</t>
  </si>
  <si>
    <t>double</t>
  </si>
  <si>
    <t>Number_of_Goats__c</t>
  </si>
  <si>
    <t>Been_living_in_the_same_location_for__c</t>
  </si>
  <si>
    <t>Next_of_Kin_Name__c</t>
  </si>
  <si>
    <t>Next_of_Kin_Surname__c</t>
  </si>
  <si>
    <t>Number_of_Pigs__c</t>
  </si>
  <si>
    <t>Share_name_phone_of_next_of_kin__c</t>
  </si>
  <si>
    <t>picklist</t>
  </si>
  <si>
    <t>Next_of_Kin_Phone_Number__c</t>
  </si>
  <si>
    <t>phone</t>
  </si>
  <si>
    <t>Number_of_Sheep__c</t>
  </si>
  <si>
    <t>Sales_Manager__c</t>
  </si>
  <si>
    <t>Lead_Name__c</t>
  </si>
  <si>
    <t>Account__c</t>
  </si>
  <si>
    <t>Own_the_land_for_product_installation__c</t>
  </si>
  <si>
    <t>How_long_have_you_been_a_farmer__c</t>
  </si>
  <si>
    <t>Do_you_have_animals__c</t>
  </si>
  <si>
    <t>RM_No_Sales_Telesales_Dealer_Agent__c</t>
  </si>
  <si>
    <t>Type_of_fruits_and_vegetables_grown__c</t>
  </si>
  <si>
    <t>Pest_disease_control_pest_type_usage__c</t>
  </si>
  <si>
    <t>Other_machinery_and_equipment_ownership__c</t>
  </si>
  <si>
    <t>Salary_amount__c</t>
  </si>
  <si>
    <t>currency</t>
  </si>
  <si>
    <t>Main_purpose_of_acquiring_the_product__c</t>
  </si>
  <si>
    <t>Primary_decision_maker_to_buy_product__c</t>
  </si>
  <si>
    <t>Main_source_of_income__c</t>
  </si>
  <si>
    <t>Periodicity_of_payment__c</t>
  </si>
  <si>
    <t>Compensation_for_the_help_provided__c</t>
  </si>
  <si>
    <t>Duration_of_this_activity__c</t>
  </si>
  <si>
    <t>Total_amount_from_pension__c</t>
  </si>
  <si>
    <t>Total_amount_from_salary_government__c</t>
  </si>
  <si>
    <t>Credit_Check_Result__c</t>
  </si>
  <si>
    <t>Other_sources_of_income_of_the_household__c</t>
  </si>
  <si>
    <t>Credit_Score__c</t>
  </si>
  <si>
    <t>Rate_how_well_the_SA_was_able_to_educate__c</t>
  </si>
  <si>
    <t>of_Kenyans_that_pay_suppliers_on_time__c</t>
  </si>
  <si>
    <t>of_Kenyans_ever_defaulted_on_a_loan__c</t>
  </si>
  <si>
    <t>What_would_you_do_if_you_win_Ksh100_000__c</t>
  </si>
  <si>
    <t>Overall_Risk_Assessment__c</t>
  </si>
  <si>
    <t>Relation_Manager__c</t>
  </si>
  <si>
    <t>Types_of_crops_grown__c</t>
  </si>
  <si>
    <t>National_ID_Number_Lead__c</t>
  </si>
  <si>
    <t>House_Members_F__c</t>
  </si>
  <si>
    <t>Gender_Lead__c</t>
  </si>
  <si>
    <t>Mobile_Lead__c</t>
  </si>
  <si>
    <t>How_long_have_you_had_the_same_phone_No__c</t>
  </si>
  <si>
    <t>Email_Address_Lead__c</t>
  </si>
  <si>
    <t>County_in_which_HouseHold_resides__c</t>
  </si>
  <si>
    <t>Living_in_the_same_location_for__c</t>
  </si>
  <si>
    <t>Relation_with_next_of_kin__c</t>
  </si>
  <si>
    <t>Number_of_Household_Members__c</t>
  </si>
  <si>
    <t>Product_Lead__c</t>
  </si>
  <si>
    <t>Ready_to_make_the_deposit_on__c</t>
  </si>
  <si>
    <t>Amount_left_after_monthly_expenses__c</t>
  </si>
  <si>
    <t>Type_of_crops_grown__c</t>
  </si>
  <si>
    <t>Crop_Grown__c</t>
  </si>
  <si>
    <t>Wheat_sale__c</t>
  </si>
  <si>
    <t>Maize_sale__c</t>
  </si>
  <si>
    <t>Paddy_sale__c</t>
  </si>
  <si>
    <t>Irish_potatoes_sale__c</t>
  </si>
  <si>
    <t>Cassava_sale__c</t>
  </si>
  <si>
    <t>Beans_sale__c</t>
  </si>
  <si>
    <t>Sunflower_sale__c</t>
  </si>
  <si>
    <t>Groundnuts_sale__c</t>
  </si>
  <si>
    <t>Other_stable_field_crops_sale__c</t>
  </si>
  <si>
    <t>Wheat_self_consumption__c</t>
  </si>
  <si>
    <t>Maize_self_consumption__c</t>
  </si>
  <si>
    <t>Paddy_self_consumption__c</t>
  </si>
  <si>
    <t>Irish_potatoes_self_consumption__c</t>
  </si>
  <si>
    <t>Cassava_self_consumption__c</t>
  </si>
  <si>
    <t>Beans_self_consumption__c</t>
  </si>
  <si>
    <t>Sunflower_self_consumption__c</t>
  </si>
  <si>
    <t>Groundnuts_self_consumption__c</t>
  </si>
  <si>
    <t>Other_staple_field_crop_self_consumption__c</t>
  </si>
  <si>
    <t>Tomatoes_sale__c</t>
  </si>
  <si>
    <t>Cabbage_sale__c</t>
  </si>
  <si>
    <t>Spinach_sale__c</t>
  </si>
  <si>
    <t>Onion_sale__c</t>
  </si>
  <si>
    <t>Green_beans_sale__c</t>
  </si>
  <si>
    <t>Other_fruits_and_vegetable_sale__c</t>
  </si>
  <si>
    <t>Tomatoes_self_consumption__c</t>
  </si>
  <si>
    <t>Cabbage_self_consumption__c</t>
  </si>
  <si>
    <t>Spinach_self_consumption__c</t>
  </si>
  <si>
    <t>Onion_self_consumption__c</t>
  </si>
  <si>
    <t>Green_Beans_self_consumption__c</t>
  </si>
  <si>
    <t>Other_fruit_vegetable_self_consumption__c</t>
  </si>
  <si>
    <t>Harvest_Cycle_Per_Year__c</t>
  </si>
  <si>
    <t>Same_number_as_provided_in_CDS1__c</t>
  </si>
  <si>
    <t>Recall_the_call__c</t>
  </si>
  <si>
    <t>Farm_acreage__c</t>
  </si>
  <si>
    <t>Main_Purpose_of_acquiring_the_pump__c</t>
  </si>
  <si>
    <t>How_did_you_hear_about_SunCulture_pumps__c</t>
  </si>
  <si>
    <t>Other_sources_of_water__c</t>
  </si>
  <si>
    <t>Hours_spent_fetching_water_every_week__c</t>
  </si>
  <si>
    <t>Amount_paid_for_getting_water_each_week__c</t>
  </si>
  <si>
    <t>Amount_paid_for_water_other_pump_usage__c</t>
  </si>
  <si>
    <t>Customer_Data_Survey_Number__c</t>
  </si>
  <si>
    <t>Quantity_of_water_usage_per_week__c</t>
  </si>
  <si>
    <t>Water_tank_capacity__c</t>
  </si>
  <si>
    <t>Electricity_connectivity__c</t>
  </si>
  <si>
    <t>Number_of_financial_dependants__c</t>
  </si>
  <si>
    <t>Number_of_working_age_adults_in_the_HH__c</t>
  </si>
  <si>
    <t>Number_of_pensioners_living_in_the_HH__c</t>
  </si>
  <si>
    <t>No_of_family_members_friends_helping__c</t>
  </si>
  <si>
    <t>Number_of_businesses_before__c</t>
  </si>
  <si>
    <t>Average_monthly_income__c</t>
  </si>
  <si>
    <t>Understand_the_products_shared_with_you__c</t>
  </si>
  <si>
    <t>No_of_years_working_with_same_employer__c</t>
  </si>
  <si>
    <t>No_of_jobs_in_the_last_5yrs__c</t>
  </si>
  <si>
    <t>Total_amount_from_remittances__c</t>
  </si>
  <si>
    <t>Total_amount_from_Agriculture__c</t>
  </si>
  <si>
    <t>Total_amount_from_commerce_and_trade__c</t>
  </si>
  <si>
    <t>Total_Amt_from_salary_private_inst__c</t>
  </si>
  <si>
    <t>Total_amount_from_provision_of_services__c</t>
  </si>
  <si>
    <t>Agent_seek_to_understand_how_you_source__c</t>
  </si>
  <si>
    <t>Amount_spent_on_school_fees__c</t>
  </si>
  <si>
    <t>Amount_spent_on_food__c</t>
  </si>
  <si>
    <t>Amount_spent_on_farm_inputs__c</t>
  </si>
  <si>
    <t>Amount_spent_on_rent__c</t>
  </si>
  <si>
    <t>Amount_spent_on_loans__c</t>
  </si>
  <si>
    <t>Amount_spent_on_other__c</t>
  </si>
  <si>
    <t>Currently_have_any_outstanding_loans__c</t>
  </si>
  <si>
    <t>Total_amount_of_outstanding_loan_s__c</t>
  </si>
  <si>
    <t>No_of_months_to_finish_paying_loan_s__c</t>
  </si>
  <si>
    <t>Preferred_banking_method__c</t>
  </si>
  <si>
    <t>World_perception_supplier__c</t>
  </si>
  <si>
    <t>World_perception_default__c</t>
  </si>
  <si>
    <t>Number_of_loans_taken_in_the_last_2yrs__c</t>
  </si>
  <si>
    <t>Periodicity_of_the_income__c</t>
  </si>
  <si>
    <t>Like_further_clarification_on_our_Prod__c</t>
  </si>
  <si>
    <t>Likelihood_to_recommend_our_Prod__c</t>
  </si>
  <si>
    <t>Name_Number_of_the_recommend_client__c</t>
  </si>
  <si>
    <t>Agent__c</t>
  </si>
  <si>
    <t>Survey_Completed__c</t>
  </si>
  <si>
    <t>Duration_with_same_employer_5yrs_F__c</t>
  </si>
  <si>
    <t>water_source_river__c</t>
  </si>
  <si>
    <t>Stage__c</t>
  </si>
  <si>
    <t>Account_Number__c</t>
  </si>
  <si>
    <t>Gender_Male_F__c</t>
  </si>
  <si>
    <t>World_perception_supplier_6080_F__c</t>
  </si>
  <si>
    <t>Overall_Risk_Assessment_Low_Risk_F__c</t>
  </si>
  <si>
    <t>Other_sources_of_water_river_F__c</t>
  </si>
  <si>
    <t>Other_sources_of_water_Borehole_F__c</t>
  </si>
  <si>
    <t>Do_you_have_animals_4F__c</t>
  </si>
  <si>
    <t>Do_you_have_animals_3F__c</t>
  </si>
  <si>
    <t>Types_of_crops_grown_1_type_F__c</t>
  </si>
  <si>
    <t>Type_of_fruits_and_vegetables_grown_4F__c</t>
  </si>
  <si>
    <t>Type_of_fruits_and_vegetables_grown_0F__c</t>
  </si>
  <si>
    <t>CDS1Tracker__c</t>
  </si>
  <si>
    <t>Birth_Date__c</t>
  </si>
  <si>
    <t>Date_of_Birth_46_55yrs_F__c</t>
  </si>
  <si>
    <t>Date_of_Birth_older_than_55yrs_F__c</t>
  </si>
  <si>
    <t>Hear_about_SunCulture_pumps_Online_F__c</t>
  </si>
  <si>
    <t>Hear_about_SunCulture_pumps_Radio_F__c</t>
  </si>
  <si>
    <t>Other_Sources_of_HH_Income_Pension_F__c</t>
  </si>
  <si>
    <t>Date_of_Birth__c</t>
  </si>
  <si>
    <t>Email__c</t>
  </si>
  <si>
    <t>email</t>
  </si>
  <si>
    <t>National_ID_Number__c</t>
  </si>
  <si>
    <t>Gender__c</t>
  </si>
  <si>
    <t>Mobile_Number__c</t>
  </si>
  <si>
    <t>Working_age_adults_F__c</t>
  </si>
  <si>
    <t>Harvest_Cycle_F__c</t>
  </si>
  <si>
    <t>RM_Name__c</t>
  </si>
  <si>
    <t>cds_source__c</t>
  </si>
  <si>
    <t>Did_you_previously_own_a_water_pump__c</t>
  </si>
  <si>
    <t>carbon_credit_which_pump_type__c</t>
  </si>
  <si>
    <t>CDS1_Date__c</t>
  </si>
  <si>
    <t>CDS2_Date__c</t>
  </si>
  <si>
    <t>Number_of_Outstanding_Loans__c</t>
  </si>
  <si>
    <t>Depth_of_the_Water_Source__c</t>
  </si>
  <si>
    <t>Total_Income__c</t>
  </si>
  <si>
    <t>Total_Expenses__c</t>
  </si>
  <si>
    <t>Remaining_Income_after_Expenses__c</t>
  </si>
  <si>
    <t>Lead_Record__c</t>
  </si>
  <si>
    <t>Creditscore__c</t>
  </si>
  <si>
    <t>Clients_County_Ug__c</t>
  </si>
  <si>
    <t>Clients_District__c</t>
  </si>
  <si>
    <t>Clients_Location__Latitude__s</t>
  </si>
  <si>
    <t>Clients_Location__Longitude__s</t>
  </si>
  <si>
    <t>Clients_Location__c</t>
  </si>
  <si>
    <t>location</t>
  </si>
  <si>
    <t>Clients_Nearest_Landmark__c</t>
  </si>
  <si>
    <t>Clients_Parish__c</t>
  </si>
  <si>
    <t>Clients_Sub_County__c</t>
  </si>
  <si>
    <t>Clients_Village_ug__c</t>
  </si>
  <si>
    <t>Amount_Spent_on_Treatment_Medical__c</t>
  </si>
  <si>
    <t>Reason_for_decline__c</t>
  </si>
  <si>
    <t>textarea</t>
  </si>
  <si>
    <t>Seasonality_of_the_Water_Source__c</t>
  </si>
  <si>
    <t>Product__c</t>
  </si>
  <si>
    <t>Fetch</t>
  </si>
  <si>
    <t>Postgresql Data Type</t>
  </si>
  <si>
    <t>VARCHAR(255)</t>
  </si>
  <si>
    <t>VARCHAR(255) PRIMARY KEY</t>
  </si>
  <si>
    <t>TEXT</t>
  </si>
  <si>
    <t>DOUBLE PRECISION</t>
  </si>
  <si>
    <t>TIMESTAMP</t>
  </si>
  <si>
    <t>Map Postgresql Data Type</t>
  </si>
  <si>
    <t>Values</t>
  </si>
  <si>
    <t>DO UPDATE SET</t>
  </si>
  <si>
    <t>Data Type - Salesforce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</si>
</sst>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6" fillId="0" borderId="0" xfId="0" applyFont="1"/>
    <xf numFmtId="0" fontId="0" fillId="33" borderId="0" xfId="0" applyFill="1"/>
    <xf numFmtId="0" fontId="16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EBBF9-23C1-4E1C-8B06-E5BAF3118DA1}">
  <sheetPr filterMode="1"/>
  <dimension ref="A1:I198"/>
  <sheetViews>
    <sheetView tabSelected="1" topLeftCell="F1" zoomScale="84" zoomScaleNormal="84" workbookViewId="0">
      <pane ySplit="1" topLeftCell="A135" activePane="bottomLeft" state="frozen"/>
      <selection pane="bottomLeft" activeCell="I164" sqref="I164"/>
    </sheetView>
  </sheetViews>
  <sheetFormatPr defaultRowHeight="14.6" x14ac:dyDescent="0.4"/>
  <cols>
    <col min="1" max="1" width="44.4609375" bestFit="1" customWidth="1"/>
    <col min="2" max="2" width="44.4609375" customWidth="1"/>
    <col min="3" max="3" width="22.23046875" bestFit="1" customWidth="1"/>
    <col min="5" max="5" width="25.07421875" bestFit="1" customWidth="1"/>
    <col min="6" max="6" width="60.07421875" bestFit="1" customWidth="1"/>
    <col min="7" max="7" width="49.3046875" bestFit="1" customWidth="1"/>
    <col min="8" max="8" width="100.61328125" bestFit="1" customWidth="1"/>
    <col min="9" max="9" width="107.23046875" bestFit="1" customWidth="1"/>
  </cols>
  <sheetData>
    <row r="1" spans="1:9" s="1" customFormat="1" x14ac:dyDescent="0.4">
      <c r="A1" s="1" t="s">
        <v>0</v>
      </c>
      <c r="C1" s="1" t="s">
        <v>221</v>
      </c>
      <c r="D1" s="3" t="s">
        <v>211</v>
      </c>
      <c r="E1" s="1" t="s">
        <v>212</v>
      </c>
      <c r="F1" s="1" t="s">
        <v>218</v>
      </c>
      <c r="G1" s="1" t="s">
        <v>219</v>
      </c>
      <c r="H1" s="1" t="s">
        <v>220</v>
      </c>
    </row>
    <row r="2" spans="1:9" x14ac:dyDescent="0.4">
      <c r="A2" t="s">
        <v>1</v>
      </c>
      <c r="B2" t="str">
        <f>_xlfn.CONCAT(A2,",")</f>
        <v>Id,</v>
      </c>
      <c r="C2" t="s">
        <v>2</v>
      </c>
      <c r="D2" t="b">
        <v>1</v>
      </c>
      <c r="E2" t="s">
        <v>214</v>
      </c>
      <c r="F2" t="str">
        <f>_xlfn.CONCAT(A2, " ", E2, ",")</f>
        <v>Id VARCHAR(255) PRIMARY KEY,</v>
      </c>
      <c r="G2" t="str">
        <f>_xlfn.CONCAT("%(",A2,")s,")</f>
        <v>%(Id)s,</v>
      </c>
      <c r="H2" t="str">
        <f>_xlfn.CONCAT(A2, " = Excluded.",A2,",")</f>
        <v>Id = Excluded.Id,</v>
      </c>
      <c r="I2" t="str">
        <f>_xlfn.CONCAT("'",A2,"': cds_record.get('",A2,"'),")</f>
        <v>'Id': cds_record.get('Id'),</v>
      </c>
    </row>
    <row r="3" spans="1:9" x14ac:dyDescent="0.4">
      <c r="A3" t="s">
        <v>3</v>
      </c>
      <c r="B3" t="str">
        <f t="shared" ref="B3:B66" si="0">_xlfn.CONCAT(A3,",")</f>
        <v>OwnerId,</v>
      </c>
      <c r="C3" t="s">
        <v>4</v>
      </c>
      <c r="D3" t="b">
        <v>1</v>
      </c>
      <c r="E3" t="s">
        <v>213</v>
      </c>
      <c r="F3" t="str">
        <f t="shared" ref="F3:F66" si="1">_xlfn.CONCAT(A3, " ", E3, ",")</f>
        <v>OwnerId VARCHAR(255),</v>
      </c>
      <c r="G3" t="str">
        <f t="shared" ref="G3:G66" si="2">_xlfn.CONCAT("%(",A3,")s,")</f>
        <v>%(OwnerId)s,</v>
      </c>
      <c r="H3" t="str">
        <f t="shared" ref="H3:H66" si="3">_xlfn.CONCAT(A3, " = Excluded.",A3,",")</f>
        <v>OwnerId = Excluded.OwnerId,</v>
      </c>
      <c r="I3" t="str">
        <f t="shared" ref="I3:I66" si="4">_xlfn.CONCAT("'",A3,"': cds_record.get('",A3,"'),")</f>
        <v>'OwnerId': cds_record.get('OwnerId'),</v>
      </c>
    </row>
    <row r="4" spans="1:9" x14ac:dyDescent="0.4">
      <c r="A4" t="s">
        <v>5</v>
      </c>
      <c r="B4" t="str">
        <f t="shared" si="0"/>
        <v>IsDeleted,</v>
      </c>
      <c r="C4" t="s">
        <v>6</v>
      </c>
      <c r="D4" t="b">
        <v>1</v>
      </c>
      <c r="E4" t="s">
        <v>215</v>
      </c>
      <c r="F4" t="str">
        <f t="shared" si="1"/>
        <v>IsDeleted TEXT,</v>
      </c>
      <c r="G4" t="str">
        <f t="shared" si="2"/>
        <v>%(IsDeleted)s,</v>
      </c>
      <c r="H4" t="str">
        <f t="shared" si="3"/>
        <v>IsDeleted = Excluded.IsDeleted,</v>
      </c>
      <c r="I4" t="str">
        <f t="shared" si="4"/>
        <v>'IsDeleted': cds_record.get('IsDeleted'),</v>
      </c>
    </row>
    <row r="5" spans="1:9" x14ac:dyDescent="0.4">
      <c r="A5" t="s">
        <v>7</v>
      </c>
      <c r="B5" t="str">
        <f t="shared" si="0"/>
        <v>Name,</v>
      </c>
      <c r="C5" t="s">
        <v>8</v>
      </c>
      <c r="D5" t="b">
        <v>1</v>
      </c>
      <c r="E5" t="s">
        <v>213</v>
      </c>
      <c r="F5" t="str">
        <f t="shared" si="1"/>
        <v>Name VARCHAR(255),</v>
      </c>
      <c r="G5" t="str">
        <f t="shared" si="2"/>
        <v>%(Name)s,</v>
      </c>
      <c r="H5" t="str">
        <f t="shared" si="3"/>
        <v>Name = Excluded.Name,</v>
      </c>
      <c r="I5" t="str">
        <f t="shared" si="4"/>
        <v>'Name': cds_record.get('Name'),</v>
      </c>
    </row>
    <row r="6" spans="1:9" x14ac:dyDescent="0.4">
      <c r="A6" t="s">
        <v>9</v>
      </c>
      <c r="B6" t="str">
        <f t="shared" si="0"/>
        <v>CreatedDate,</v>
      </c>
      <c r="C6" t="s">
        <v>10</v>
      </c>
      <c r="D6" t="b">
        <v>1</v>
      </c>
      <c r="E6" t="s">
        <v>217</v>
      </c>
      <c r="F6" t="str">
        <f t="shared" si="1"/>
        <v>CreatedDate TIMESTAMP,</v>
      </c>
      <c r="G6" t="str">
        <f t="shared" si="2"/>
        <v>%(CreatedDate)s,</v>
      </c>
      <c r="H6" t="str">
        <f t="shared" si="3"/>
        <v>CreatedDate = Excluded.CreatedDate,</v>
      </c>
      <c r="I6" t="str">
        <f t="shared" si="4"/>
        <v>'CreatedDate': cds_record.get('CreatedDate'),</v>
      </c>
    </row>
    <row r="7" spans="1:9" x14ac:dyDescent="0.4">
      <c r="A7" t="s">
        <v>11</v>
      </c>
      <c r="B7" t="str">
        <f t="shared" si="0"/>
        <v>CreatedById,</v>
      </c>
      <c r="C7" t="s">
        <v>4</v>
      </c>
      <c r="D7" t="b">
        <v>1</v>
      </c>
      <c r="E7" t="s">
        <v>215</v>
      </c>
      <c r="F7" t="str">
        <f t="shared" si="1"/>
        <v>CreatedById TEXT,</v>
      </c>
      <c r="G7" t="str">
        <f t="shared" si="2"/>
        <v>%(CreatedById)s,</v>
      </c>
      <c r="H7" t="str">
        <f t="shared" si="3"/>
        <v>CreatedById = Excluded.CreatedById,</v>
      </c>
      <c r="I7" t="str">
        <f t="shared" si="4"/>
        <v>'CreatedById': cds_record.get('CreatedById'),</v>
      </c>
    </row>
    <row r="8" spans="1:9" x14ac:dyDescent="0.4">
      <c r="A8" t="s">
        <v>12</v>
      </c>
      <c r="B8" t="str">
        <f t="shared" si="0"/>
        <v>LastModifiedDate,</v>
      </c>
      <c r="C8" t="s">
        <v>10</v>
      </c>
      <c r="D8" t="b">
        <v>1</v>
      </c>
      <c r="E8" t="s">
        <v>217</v>
      </c>
      <c r="F8" t="str">
        <f t="shared" si="1"/>
        <v>LastModifiedDate TIMESTAMP,</v>
      </c>
      <c r="G8" t="str">
        <f t="shared" si="2"/>
        <v>%(LastModifiedDate)s,</v>
      </c>
      <c r="H8" t="str">
        <f t="shared" si="3"/>
        <v>LastModifiedDate = Excluded.LastModifiedDate,</v>
      </c>
      <c r="I8" t="str">
        <f t="shared" si="4"/>
        <v>'LastModifiedDate': cds_record.get('LastModifiedDate'),</v>
      </c>
    </row>
    <row r="9" spans="1:9" x14ac:dyDescent="0.4">
      <c r="A9" t="s">
        <v>13</v>
      </c>
      <c r="B9" t="str">
        <f t="shared" si="0"/>
        <v>LastModifiedById,</v>
      </c>
      <c r="C9" t="s">
        <v>4</v>
      </c>
      <c r="D9" t="b">
        <v>1</v>
      </c>
      <c r="E9" t="s">
        <v>215</v>
      </c>
      <c r="F9" t="str">
        <f t="shared" si="1"/>
        <v>LastModifiedById TEXT,</v>
      </c>
      <c r="G9" t="str">
        <f t="shared" si="2"/>
        <v>%(LastModifiedById)s,</v>
      </c>
      <c r="H9" t="str">
        <f t="shared" si="3"/>
        <v>LastModifiedById = Excluded.LastModifiedById,</v>
      </c>
      <c r="I9" t="str">
        <f t="shared" si="4"/>
        <v>'LastModifiedById': cds_record.get('LastModifiedById'),</v>
      </c>
    </row>
    <row r="10" spans="1:9" x14ac:dyDescent="0.4">
      <c r="A10" t="s">
        <v>14</v>
      </c>
      <c r="B10" t="str">
        <f t="shared" si="0"/>
        <v>SystemModstamp,</v>
      </c>
      <c r="C10" t="s">
        <v>10</v>
      </c>
      <c r="D10" t="b">
        <v>1</v>
      </c>
      <c r="E10" t="s">
        <v>217</v>
      </c>
      <c r="F10" t="str">
        <f t="shared" si="1"/>
        <v>SystemModstamp TIMESTAMP,</v>
      </c>
      <c r="G10" t="str">
        <f t="shared" si="2"/>
        <v>%(SystemModstamp)s,</v>
      </c>
      <c r="H10" t="str">
        <f t="shared" si="3"/>
        <v>SystemModstamp = Excluded.SystemModstamp,</v>
      </c>
      <c r="I10" t="str">
        <f t="shared" si="4"/>
        <v>'SystemModstamp': cds_record.get('SystemModstamp'),</v>
      </c>
    </row>
    <row r="11" spans="1:9" x14ac:dyDescent="0.4">
      <c r="A11" t="s">
        <v>15</v>
      </c>
      <c r="B11" t="str">
        <f t="shared" si="0"/>
        <v>LastActivityDate,</v>
      </c>
      <c r="C11" t="s">
        <v>16</v>
      </c>
      <c r="D11" t="b">
        <v>1</v>
      </c>
      <c r="E11" t="s">
        <v>217</v>
      </c>
      <c r="F11" t="str">
        <f t="shared" si="1"/>
        <v>LastActivityDate TIMESTAMP,</v>
      </c>
      <c r="G11" t="str">
        <f t="shared" si="2"/>
        <v>%(LastActivityDate)s,</v>
      </c>
      <c r="H11" t="str">
        <f t="shared" si="3"/>
        <v>LastActivityDate = Excluded.LastActivityDate,</v>
      </c>
      <c r="I11" t="str">
        <f t="shared" si="4"/>
        <v>'LastActivityDate': cds_record.get('LastActivityDate'),</v>
      </c>
    </row>
    <row r="12" spans="1:9" x14ac:dyDescent="0.4">
      <c r="A12" t="s">
        <v>17</v>
      </c>
      <c r="B12" t="str">
        <f t="shared" si="0"/>
        <v>LastViewedDate,</v>
      </c>
      <c r="C12" t="s">
        <v>10</v>
      </c>
      <c r="D12" t="b">
        <v>1</v>
      </c>
      <c r="E12" t="s">
        <v>217</v>
      </c>
      <c r="F12" t="str">
        <f t="shared" si="1"/>
        <v>LastViewedDate TIMESTAMP,</v>
      </c>
      <c r="G12" t="str">
        <f t="shared" si="2"/>
        <v>%(LastViewedDate)s,</v>
      </c>
      <c r="H12" t="str">
        <f t="shared" si="3"/>
        <v>LastViewedDate = Excluded.LastViewedDate,</v>
      </c>
      <c r="I12" t="str">
        <f t="shared" si="4"/>
        <v>'LastViewedDate': cds_record.get('LastViewedDate'),</v>
      </c>
    </row>
    <row r="13" spans="1:9" x14ac:dyDescent="0.4">
      <c r="A13" t="s">
        <v>18</v>
      </c>
      <c r="B13" t="str">
        <f t="shared" si="0"/>
        <v>LastReferencedDate,</v>
      </c>
      <c r="C13" t="s">
        <v>10</v>
      </c>
      <c r="D13" t="b">
        <v>1</v>
      </c>
      <c r="E13" t="s">
        <v>217</v>
      </c>
      <c r="F13" t="str">
        <f t="shared" si="1"/>
        <v>LastReferencedDate TIMESTAMP,</v>
      </c>
      <c r="G13" t="str">
        <f t="shared" si="2"/>
        <v>%(LastReferencedDate)s,</v>
      </c>
      <c r="H13" t="str">
        <f t="shared" si="3"/>
        <v>LastReferencedDate = Excluded.LastReferencedDate,</v>
      </c>
      <c r="I13" t="str">
        <f t="shared" si="4"/>
        <v>'LastReferencedDate': cds_record.get('LastReferencedDate'),</v>
      </c>
    </row>
    <row r="14" spans="1:9" x14ac:dyDescent="0.4">
      <c r="A14" t="s">
        <v>19</v>
      </c>
      <c r="B14" t="str">
        <f t="shared" si="0"/>
        <v>Number_of_Cows__c,</v>
      </c>
      <c r="C14" t="s">
        <v>20</v>
      </c>
      <c r="D14" t="b">
        <v>1</v>
      </c>
      <c r="E14" t="s">
        <v>216</v>
      </c>
      <c r="F14" t="str">
        <f t="shared" si="1"/>
        <v>Number_of_Cows__c DOUBLE PRECISION,</v>
      </c>
      <c r="G14" t="str">
        <f t="shared" si="2"/>
        <v>%(Number_of_Cows__c)s,</v>
      </c>
      <c r="H14" t="str">
        <f t="shared" si="3"/>
        <v>Number_of_Cows__c = Excluded.Number_of_Cows__c,</v>
      </c>
      <c r="I14" t="str">
        <f t="shared" si="4"/>
        <v>'Number_of_Cows__c': cds_record.get('Number_of_Cows__c'),</v>
      </c>
    </row>
    <row r="15" spans="1:9" x14ac:dyDescent="0.4">
      <c r="A15" t="s">
        <v>21</v>
      </c>
      <c r="B15" t="str">
        <f t="shared" si="0"/>
        <v>Number_of_Goats__c,</v>
      </c>
      <c r="C15" t="s">
        <v>20</v>
      </c>
      <c r="D15" t="b">
        <v>1</v>
      </c>
      <c r="E15" t="s">
        <v>216</v>
      </c>
      <c r="F15" t="str">
        <f t="shared" si="1"/>
        <v>Number_of_Goats__c DOUBLE PRECISION,</v>
      </c>
      <c r="G15" t="str">
        <f t="shared" si="2"/>
        <v>%(Number_of_Goats__c)s,</v>
      </c>
      <c r="H15" t="str">
        <f t="shared" si="3"/>
        <v>Number_of_Goats__c = Excluded.Number_of_Goats__c,</v>
      </c>
      <c r="I15" t="str">
        <f t="shared" si="4"/>
        <v>'Number_of_Goats__c': cds_record.get('Number_of_Goats__c'),</v>
      </c>
    </row>
    <row r="16" spans="1:9" x14ac:dyDescent="0.4">
      <c r="A16" t="s">
        <v>22</v>
      </c>
      <c r="B16" t="str">
        <f t="shared" si="0"/>
        <v>Been_living_in_the_same_location_for__c,</v>
      </c>
      <c r="C16" t="s">
        <v>8</v>
      </c>
      <c r="D16" t="b">
        <v>1</v>
      </c>
      <c r="E16" t="s">
        <v>215</v>
      </c>
      <c r="F16" t="str">
        <f t="shared" si="1"/>
        <v>Been_living_in_the_same_location_for__c TEXT,</v>
      </c>
      <c r="G16" t="str">
        <f t="shared" si="2"/>
        <v>%(Been_living_in_the_same_location_for__c)s,</v>
      </c>
      <c r="H16" t="str">
        <f t="shared" si="3"/>
        <v>Been_living_in_the_same_location_for__c = Excluded.Been_living_in_the_same_location_for__c,</v>
      </c>
      <c r="I16" t="str">
        <f t="shared" si="4"/>
        <v>'Been_living_in_the_same_location_for__c': cds_record.get('Been_living_in_the_same_location_for__c'),</v>
      </c>
    </row>
    <row r="17" spans="1:9" x14ac:dyDescent="0.4">
      <c r="A17" t="s">
        <v>23</v>
      </c>
      <c r="B17" t="str">
        <f t="shared" si="0"/>
        <v>Next_of_Kin_Name__c,</v>
      </c>
      <c r="C17" t="s">
        <v>8</v>
      </c>
      <c r="D17" t="b">
        <v>1</v>
      </c>
      <c r="E17" t="s">
        <v>215</v>
      </c>
      <c r="F17" t="str">
        <f t="shared" si="1"/>
        <v>Next_of_Kin_Name__c TEXT,</v>
      </c>
      <c r="G17" t="str">
        <f t="shared" si="2"/>
        <v>%(Next_of_Kin_Name__c)s,</v>
      </c>
      <c r="H17" t="str">
        <f t="shared" si="3"/>
        <v>Next_of_Kin_Name__c = Excluded.Next_of_Kin_Name__c,</v>
      </c>
      <c r="I17" t="str">
        <f t="shared" si="4"/>
        <v>'Next_of_Kin_Name__c': cds_record.get('Next_of_Kin_Name__c'),</v>
      </c>
    </row>
    <row r="18" spans="1:9" x14ac:dyDescent="0.4">
      <c r="A18" t="s">
        <v>24</v>
      </c>
      <c r="B18" t="str">
        <f t="shared" si="0"/>
        <v>Next_of_Kin_Surname__c,</v>
      </c>
      <c r="C18" t="s">
        <v>8</v>
      </c>
      <c r="D18" t="b">
        <v>1</v>
      </c>
      <c r="E18" t="s">
        <v>215</v>
      </c>
      <c r="F18" t="str">
        <f t="shared" si="1"/>
        <v>Next_of_Kin_Surname__c TEXT,</v>
      </c>
      <c r="G18" t="str">
        <f t="shared" si="2"/>
        <v>%(Next_of_Kin_Surname__c)s,</v>
      </c>
      <c r="H18" t="str">
        <f t="shared" si="3"/>
        <v>Next_of_Kin_Surname__c = Excluded.Next_of_Kin_Surname__c,</v>
      </c>
      <c r="I18" t="str">
        <f t="shared" si="4"/>
        <v>'Next_of_Kin_Surname__c': cds_record.get('Next_of_Kin_Surname__c'),</v>
      </c>
    </row>
    <row r="19" spans="1:9" x14ac:dyDescent="0.4">
      <c r="A19" t="s">
        <v>25</v>
      </c>
      <c r="B19" t="str">
        <f t="shared" si="0"/>
        <v>Number_of_Pigs__c,</v>
      </c>
      <c r="C19" t="s">
        <v>20</v>
      </c>
      <c r="D19" t="b">
        <v>1</v>
      </c>
      <c r="E19" t="s">
        <v>216</v>
      </c>
      <c r="F19" t="str">
        <f t="shared" si="1"/>
        <v>Number_of_Pigs__c DOUBLE PRECISION,</v>
      </c>
      <c r="G19" t="str">
        <f t="shared" si="2"/>
        <v>%(Number_of_Pigs__c)s,</v>
      </c>
      <c r="H19" t="str">
        <f t="shared" si="3"/>
        <v>Number_of_Pigs__c = Excluded.Number_of_Pigs__c,</v>
      </c>
      <c r="I19" t="str">
        <f t="shared" si="4"/>
        <v>'Number_of_Pigs__c': cds_record.get('Number_of_Pigs__c'),</v>
      </c>
    </row>
    <row r="20" spans="1:9" x14ac:dyDescent="0.4">
      <c r="A20" t="s">
        <v>26</v>
      </c>
      <c r="B20" t="str">
        <f t="shared" si="0"/>
        <v>Share_name_phone_of_next_of_kin__c,</v>
      </c>
      <c r="C20" t="s">
        <v>27</v>
      </c>
      <c r="D20" t="b">
        <v>1</v>
      </c>
      <c r="E20" t="s">
        <v>215</v>
      </c>
      <c r="F20" t="str">
        <f t="shared" si="1"/>
        <v>Share_name_phone_of_next_of_kin__c TEXT,</v>
      </c>
      <c r="G20" t="str">
        <f t="shared" si="2"/>
        <v>%(Share_name_phone_of_next_of_kin__c)s,</v>
      </c>
      <c r="H20" t="str">
        <f t="shared" si="3"/>
        <v>Share_name_phone_of_next_of_kin__c = Excluded.Share_name_phone_of_next_of_kin__c,</v>
      </c>
      <c r="I20" t="str">
        <f t="shared" si="4"/>
        <v>'Share_name_phone_of_next_of_kin__c': cds_record.get('Share_name_phone_of_next_of_kin__c'),</v>
      </c>
    </row>
    <row r="21" spans="1:9" x14ac:dyDescent="0.4">
      <c r="A21" t="s">
        <v>28</v>
      </c>
      <c r="B21" t="str">
        <f t="shared" si="0"/>
        <v>Next_of_Kin_Phone_Number__c,</v>
      </c>
      <c r="C21" t="s">
        <v>29</v>
      </c>
      <c r="D21" t="b">
        <v>1</v>
      </c>
      <c r="E21" t="s">
        <v>215</v>
      </c>
      <c r="F21" t="str">
        <f t="shared" si="1"/>
        <v>Next_of_Kin_Phone_Number__c TEXT,</v>
      </c>
      <c r="G21" t="str">
        <f t="shared" si="2"/>
        <v>%(Next_of_Kin_Phone_Number__c)s,</v>
      </c>
      <c r="H21" t="str">
        <f t="shared" si="3"/>
        <v>Next_of_Kin_Phone_Number__c = Excluded.Next_of_Kin_Phone_Number__c,</v>
      </c>
      <c r="I21" t="str">
        <f t="shared" si="4"/>
        <v>'Next_of_Kin_Phone_Number__c': cds_record.get('Next_of_Kin_Phone_Number__c'),</v>
      </c>
    </row>
    <row r="22" spans="1:9" x14ac:dyDescent="0.4">
      <c r="A22" t="s">
        <v>30</v>
      </c>
      <c r="B22" t="str">
        <f t="shared" si="0"/>
        <v>Number_of_Sheep__c,</v>
      </c>
      <c r="C22" t="s">
        <v>20</v>
      </c>
      <c r="D22" t="b">
        <v>1</v>
      </c>
      <c r="E22" t="s">
        <v>216</v>
      </c>
      <c r="F22" t="str">
        <f t="shared" si="1"/>
        <v>Number_of_Sheep__c DOUBLE PRECISION,</v>
      </c>
      <c r="G22" t="str">
        <f t="shared" si="2"/>
        <v>%(Number_of_Sheep__c)s,</v>
      </c>
      <c r="H22" t="str">
        <f t="shared" si="3"/>
        <v>Number_of_Sheep__c = Excluded.Number_of_Sheep__c,</v>
      </c>
      <c r="I22" t="str">
        <f t="shared" si="4"/>
        <v>'Number_of_Sheep__c': cds_record.get('Number_of_Sheep__c'),</v>
      </c>
    </row>
    <row r="23" spans="1:9" x14ac:dyDescent="0.4">
      <c r="A23" t="s">
        <v>31</v>
      </c>
      <c r="B23" t="str">
        <f t="shared" si="0"/>
        <v>Sales_Manager__c,</v>
      </c>
      <c r="C23" t="s">
        <v>4</v>
      </c>
      <c r="D23" t="b">
        <v>1</v>
      </c>
      <c r="E23" t="s">
        <v>215</v>
      </c>
      <c r="F23" t="str">
        <f t="shared" si="1"/>
        <v>Sales_Manager__c TEXT,</v>
      </c>
      <c r="G23" t="str">
        <f t="shared" si="2"/>
        <v>%(Sales_Manager__c)s,</v>
      </c>
      <c r="H23" t="str">
        <f t="shared" si="3"/>
        <v>Sales_Manager__c = Excluded.Sales_Manager__c,</v>
      </c>
      <c r="I23" t="str">
        <f t="shared" si="4"/>
        <v>'Sales_Manager__c': cds_record.get('Sales_Manager__c'),</v>
      </c>
    </row>
    <row r="24" spans="1:9" x14ac:dyDescent="0.4">
      <c r="A24" t="s">
        <v>32</v>
      </c>
      <c r="B24" t="str">
        <f t="shared" si="0"/>
        <v>Lead_Name__c,</v>
      </c>
      <c r="C24" t="s">
        <v>4</v>
      </c>
      <c r="D24" t="b">
        <v>1</v>
      </c>
      <c r="E24" t="s">
        <v>215</v>
      </c>
      <c r="F24" t="str">
        <f t="shared" si="1"/>
        <v>Lead_Name__c TEXT,</v>
      </c>
      <c r="G24" t="str">
        <f t="shared" si="2"/>
        <v>%(Lead_Name__c)s,</v>
      </c>
      <c r="H24" t="str">
        <f t="shared" si="3"/>
        <v>Lead_Name__c = Excluded.Lead_Name__c,</v>
      </c>
      <c r="I24" t="str">
        <f t="shared" si="4"/>
        <v>'Lead_Name__c': cds_record.get('Lead_Name__c'),</v>
      </c>
    </row>
    <row r="25" spans="1:9" x14ac:dyDescent="0.4">
      <c r="A25" t="s">
        <v>33</v>
      </c>
      <c r="B25" t="str">
        <f t="shared" si="0"/>
        <v>Account__c,</v>
      </c>
      <c r="C25" t="s">
        <v>4</v>
      </c>
      <c r="D25" t="b">
        <v>1</v>
      </c>
      <c r="E25" t="s">
        <v>215</v>
      </c>
      <c r="F25" t="str">
        <f t="shared" si="1"/>
        <v>Account__c TEXT,</v>
      </c>
      <c r="G25" t="str">
        <f t="shared" si="2"/>
        <v>%(Account__c)s,</v>
      </c>
      <c r="H25" t="str">
        <f t="shared" si="3"/>
        <v>Account__c = Excluded.Account__c,</v>
      </c>
      <c r="I25" t="str">
        <f t="shared" si="4"/>
        <v>'Account__c': cds_record.get('Account__c'),</v>
      </c>
    </row>
    <row r="26" spans="1:9" x14ac:dyDescent="0.4">
      <c r="A26" t="s">
        <v>34</v>
      </c>
      <c r="B26" t="str">
        <f t="shared" si="0"/>
        <v>Own_the_land_for_product_installation__c,</v>
      </c>
      <c r="C26" t="s">
        <v>27</v>
      </c>
      <c r="D26" t="b">
        <v>1</v>
      </c>
      <c r="E26" t="s">
        <v>215</v>
      </c>
      <c r="F26" t="str">
        <f t="shared" si="1"/>
        <v>Own_the_land_for_product_installation__c TEXT,</v>
      </c>
      <c r="G26" t="str">
        <f t="shared" si="2"/>
        <v>%(Own_the_land_for_product_installation__c)s,</v>
      </c>
      <c r="H26" t="str">
        <f t="shared" si="3"/>
        <v>Own_the_land_for_product_installation__c = Excluded.Own_the_land_for_product_installation__c,</v>
      </c>
      <c r="I26" t="str">
        <f t="shared" si="4"/>
        <v>'Own_the_land_for_product_installation__c': cds_record.get('Own_the_land_for_product_installation__c'),</v>
      </c>
    </row>
    <row r="27" spans="1:9" x14ac:dyDescent="0.4">
      <c r="A27" t="s">
        <v>35</v>
      </c>
      <c r="B27" t="str">
        <f t="shared" si="0"/>
        <v>How_long_have_you_been_a_farmer__c,</v>
      </c>
      <c r="C27" t="s">
        <v>27</v>
      </c>
      <c r="D27" t="b">
        <v>1</v>
      </c>
      <c r="E27" t="s">
        <v>215</v>
      </c>
      <c r="F27" t="str">
        <f t="shared" si="1"/>
        <v>How_long_have_you_been_a_farmer__c TEXT,</v>
      </c>
      <c r="G27" t="str">
        <f t="shared" si="2"/>
        <v>%(How_long_have_you_been_a_farmer__c)s,</v>
      </c>
      <c r="H27" t="str">
        <f t="shared" si="3"/>
        <v>How_long_have_you_been_a_farmer__c = Excluded.How_long_have_you_been_a_farmer__c,</v>
      </c>
      <c r="I27" t="str">
        <f t="shared" si="4"/>
        <v>'How_long_have_you_been_a_farmer__c': cds_record.get('How_long_have_you_been_a_farmer__c'),</v>
      </c>
    </row>
    <row r="28" spans="1:9" x14ac:dyDescent="0.4">
      <c r="A28" t="s">
        <v>36</v>
      </c>
      <c r="B28" t="str">
        <f t="shared" si="0"/>
        <v>Do_you_have_animals__c,</v>
      </c>
      <c r="C28" t="s">
        <v>27</v>
      </c>
      <c r="D28" t="b">
        <v>1</v>
      </c>
      <c r="E28" t="s">
        <v>215</v>
      </c>
      <c r="F28" t="str">
        <f t="shared" si="1"/>
        <v>Do_you_have_animals__c TEXT,</v>
      </c>
      <c r="G28" t="str">
        <f t="shared" si="2"/>
        <v>%(Do_you_have_animals__c)s,</v>
      </c>
      <c r="H28" t="str">
        <f t="shared" si="3"/>
        <v>Do_you_have_animals__c = Excluded.Do_you_have_animals__c,</v>
      </c>
      <c r="I28" t="str">
        <f t="shared" si="4"/>
        <v>'Do_you_have_animals__c': cds_record.get('Do_you_have_animals__c'),</v>
      </c>
    </row>
    <row r="29" spans="1:9" x14ac:dyDescent="0.4">
      <c r="A29" t="s">
        <v>37</v>
      </c>
      <c r="B29" t="str">
        <f t="shared" si="0"/>
        <v>RM_No_Sales_Telesales_Dealer_Agent__c,</v>
      </c>
      <c r="C29" t="s">
        <v>8</v>
      </c>
      <c r="D29" t="b">
        <v>1</v>
      </c>
      <c r="E29" t="s">
        <v>215</v>
      </c>
      <c r="F29" t="str">
        <f t="shared" si="1"/>
        <v>RM_No_Sales_Telesales_Dealer_Agent__c TEXT,</v>
      </c>
      <c r="G29" t="str">
        <f t="shared" si="2"/>
        <v>%(RM_No_Sales_Telesales_Dealer_Agent__c)s,</v>
      </c>
      <c r="H29" t="str">
        <f t="shared" si="3"/>
        <v>RM_No_Sales_Telesales_Dealer_Agent__c = Excluded.RM_No_Sales_Telesales_Dealer_Agent__c,</v>
      </c>
      <c r="I29" t="str">
        <f t="shared" si="4"/>
        <v>'RM_No_Sales_Telesales_Dealer_Agent__c': cds_record.get('RM_No_Sales_Telesales_Dealer_Agent__c'),</v>
      </c>
    </row>
    <row r="30" spans="1:9" x14ac:dyDescent="0.4">
      <c r="A30" t="s">
        <v>38</v>
      </c>
      <c r="B30" t="str">
        <f t="shared" si="0"/>
        <v>Type_of_fruits_and_vegetables_grown__c,</v>
      </c>
      <c r="C30" t="s">
        <v>27</v>
      </c>
      <c r="D30" t="b">
        <v>1</v>
      </c>
      <c r="E30" t="s">
        <v>215</v>
      </c>
      <c r="F30" t="str">
        <f t="shared" si="1"/>
        <v>Type_of_fruits_and_vegetables_grown__c TEXT,</v>
      </c>
      <c r="G30" t="str">
        <f t="shared" si="2"/>
        <v>%(Type_of_fruits_and_vegetables_grown__c)s,</v>
      </c>
      <c r="H30" t="str">
        <f t="shared" si="3"/>
        <v>Type_of_fruits_and_vegetables_grown__c = Excluded.Type_of_fruits_and_vegetables_grown__c,</v>
      </c>
      <c r="I30" t="str">
        <f t="shared" si="4"/>
        <v>'Type_of_fruits_and_vegetables_grown__c': cds_record.get('Type_of_fruits_and_vegetables_grown__c'),</v>
      </c>
    </row>
    <row r="31" spans="1:9" x14ac:dyDescent="0.4">
      <c r="A31" t="s">
        <v>39</v>
      </c>
      <c r="B31" t="str">
        <f t="shared" si="0"/>
        <v>Pest_disease_control_pest_type_usage__c,</v>
      </c>
      <c r="C31" t="s">
        <v>27</v>
      </c>
      <c r="D31" t="b">
        <v>1</v>
      </c>
      <c r="E31" t="s">
        <v>215</v>
      </c>
      <c r="F31" t="str">
        <f t="shared" si="1"/>
        <v>Pest_disease_control_pest_type_usage__c TEXT,</v>
      </c>
      <c r="G31" t="str">
        <f t="shared" si="2"/>
        <v>%(Pest_disease_control_pest_type_usage__c)s,</v>
      </c>
      <c r="H31" t="str">
        <f t="shared" si="3"/>
        <v>Pest_disease_control_pest_type_usage__c = Excluded.Pest_disease_control_pest_type_usage__c,</v>
      </c>
      <c r="I31" t="str">
        <f t="shared" si="4"/>
        <v>'Pest_disease_control_pest_type_usage__c': cds_record.get('Pest_disease_control_pest_type_usage__c'),</v>
      </c>
    </row>
    <row r="32" spans="1:9" x14ac:dyDescent="0.4">
      <c r="A32" t="s">
        <v>40</v>
      </c>
      <c r="B32" t="str">
        <f t="shared" si="0"/>
        <v>Other_machinery_and_equipment_ownership__c,</v>
      </c>
      <c r="C32" t="s">
        <v>27</v>
      </c>
      <c r="D32" t="b">
        <v>1</v>
      </c>
      <c r="E32" t="s">
        <v>215</v>
      </c>
      <c r="F32" t="str">
        <f t="shared" si="1"/>
        <v>Other_machinery_and_equipment_ownership__c TEXT,</v>
      </c>
      <c r="G32" t="str">
        <f t="shared" si="2"/>
        <v>%(Other_machinery_and_equipment_ownership__c)s,</v>
      </c>
      <c r="H32" t="str">
        <f t="shared" si="3"/>
        <v>Other_machinery_and_equipment_ownership__c = Excluded.Other_machinery_and_equipment_ownership__c,</v>
      </c>
      <c r="I32" t="str">
        <f t="shared" si="4"/>
        <v>'Other_machinery_and_equipment_ownership__c': cds_record.get('Other_machinery_and_equipment_ownership__c'),</v>
      </c>
    </row>
    <row r="33" spans="1:9" x14ac:dyDescent="0.4">
      <c r="A33" t="s">
        <v>41</v>
      </c>
      <c r="B33" t="str">
        <f t="shared" si="0"/>
        <v>Salary_amount__c,</v>
      </c>
      <c r="C33" t="s">
        <v>42</v>
      </c>
      <c r="D33" t="b">
        <v>1</v>
      </c>
      <c r="E33" t="s">
        <v>216</v>
      </c>
      <c r="F33" t="str">
        <f t="shared" si="1"/>
        <v>Salary_amount__c DOUBLE PRECISION,</v>
      </c>
      <c r="G33" t="str">
        <f t="shared" si="2"/>
        <v>%(Salary_amount__c)s,</v>
      </c>
      <c r="H33" t="str">
        <f t="shared" si="3"/>
        <v>Salary_amount__c = Excluded.Salary_amount__c,</v>
      </c>
      <c r="I33" t="str">
        <f t="shared" si="4"/>
        <v>'Salary_amount__c': cds_record.get('Salary_amount__c'),</v>
      </c>
    </row>
    <row r="34" spans="1:9" x14ac:dyDescent="0.4">
      <c r="A34" t="s">
        <v>43</v>
      </c>
      <c r="B34" t="str">
        <f t="shared" si="0"/>
        <v>Main_purpose_of_acquiring_the_product__c,</v>
      </c>
      <c r="C34" t="s">
        <v>27</v>
      </c>
      <c r="D34" t="b">
        <v>1</v>
      </c>
      <c r="E34" t="s">
        <v>215</v>
      </c>
      <c r="F34" t="str">
        <f t="shared" si="1"/>
        <v>Main_purpose_of_acquiring_the_product__c TEXT,</v>
      </c>
      <c r="G34" t="str">
        <f t="shared" si="2"/>
        <v>%(Main_purpose_of_acquiring_the_product__c)s,</v>
      </c>
      <c r="H34" t="str">
        <f t="shared" si="3"/>
        <v>Main_purpose_of_acquiring_the_product__c = Excluded.Main_purpose_of_acquiring_the_product__c,</v>
      </c>
      <c r="I34" t="str">
        <f t="shared" si="4"/>
        <v>'Main_purpose_of_acquiring_the_product__c': cds_record.get('Main_purpose_of_acquiring_the_product__c'),</v>
      </c>
    </row>
    <row r="35" spans="1:9" x14ac:dyDescent="0.4">
      <c r="A35" t="s">
        <v>44</v>
      </c>
      <c r="B35" t="str">
        <f t="shared" si="0"/>
        <v>Primary_decision_maker_to_buy_product__c,</v>
      </c>
      <c r="C35" t="s">
        <v>27</v>
      </c>
      <c r="D35" t="b">
        <v>1</v>
      </c>
      <c r="E35" t="s">
        <v>215</v>
      </c>
      <c r="F35" t="str">
        <f t="shared" si="1"/>
        <v>Primary_decision_maker_to_buy_product__c TEXT,</v>
      </c>
      <c r="G35" t="str">
        <f t="shared" si="2"/>
        <v>%(Primary_decision_maker_to_buy_product__c)s,</v>
      </c>
      <c r="H35" t="str">
        <f t="shared" si="3"/>
        <v>Primary_decision_maker_to_buy_product__c = Excluded.Primary_decision_maker_to_buy_product__c,</v>
      </c>
      <c r="I35" t="str">
        <f t="shared" si="4"/>
        <v>'Primary_decision_maker_to_buy_product__c': cds_record.get('Primary_decision_maker_to_buy_product__c'),</v>
      </c>
    </row>
    <row r="36" spans="1:9" x14ac:dyDescent="0.4">
      <c r="A36" t="s">
        <v>45</v>
      </c>
      <c r="B36" t="str">
        <f t="shared" si="0"/>
        <v>Main_source_of_income__c,</v>
      </c>
      <c r="C36" t="s">
        <v>27</v>
      </c>
      <c r="D36" t="b">
        <v>1</v>
      </c>
      <c r="E36" t="s">
        <v>215</v>
      </c>
      <c r="F36" t="str">
        <f t="shared" si="1"/>
        <v>Main_source_of_income__c TEXT,</v>
      </c>
      <c r="G36" t="str">
        <f t="shared" si="2"/>
        <v>%(Main_source_of_income__c)s,</v>
      </c>
      <c r="H36" t="str">
        <f t="shared" si="3"/>
        <v>Main_source_of_income__c = Excluded.Main_source_of_income__c,</v>
      </c>
      <c r="I36" t="str">
        <f t="shared" si="4"/>
        <v>'Main_source_of_income__c': cds_record.get('Main_source_of_income__c'),</v>
      </c>
    </row>
    <row r="37" spans="1:9" x14ac:dyDescent="0.4">
      <c r="A37" t="s">
        <v>46</v>
      </c>
      <c r="B37" t="str">
        <f t="shared" si="0"/>
        <v>Periodicity_of_payment__c,</v>
      </c>
      <c r="C37" t="s">
        <v>27</v>
      </c>
      <c r="D37" t="b">
        <v>1</v>
      </c>
      <c r="E37" t="s">
        <v>215</v>
      </c>
      <c r="F37" t="str">
        <f t="shared" si="1"/>
        <v>Periodicity_of_payment__c TEXT,</v>
      </c>
      <c r="G37" t="str">
        <f t="shared" si="2"/>
        <v>%(Periodicity_of_payment__c)s,</v>
      </c>
      <c r="H37" t="str">
        <f t="shared" si="3"/>
        <v>Periodicity_of_payment__c = Excluded.Periodicity_of_payment__c,</v>
      </c>
      <c r="I37" t="str">
        <f t="shared" si="4"/>
        <v>'Periodicity_of_payment__c': cds_record.get('Periodicity_of_payment__c'),</v>
      </c>
    </row>
    <row r="38" spans="1:9" x14ac:dyDescent="0.4">
      <c r="A38" t="s">
        <v>47</v>
      </c>
      <c r="B38" t="str">
        <f t="shared" si="0"/>
        <v>Compensation_for_the_help_provided__c,</v>
      </c>
      <c r="C38" t="s">
        <v>27</v>
      </c>
      <c r="D38" t="b">
        <v>1</v>
      </c>
      <c r="E38" t="s">
        <v>215</v>
      </c>
      <c r="F38" t="str">
        <f t="shared" si="1"/>
        <v>Compensation_for_the_help_provided__c TEXT,</v>
      </c>
      <c r="G38" t="str">
        <f t="shared" si="2"/>
        <v>%(Compensation_for_the_help_provided__c)s,</v>
      </c>
      <c r="H38" t="str">
        <f t="shared" si="3"/>
        <v>Compensation_for_the_help_provided__c = Excluded.Compensation_for_the_help_provided__c,</v>
      </c>
      <c r="I38" t="str">
        <f t="shared" si="4"/>
        <v>'Compensation_for_the_help_provided__c': cds_record.get('Compensation_for_the_help_provided__c'),</v>
      </c>
    </row>
    <row r="39" spans="1:9" x14ac:dyDescent="0.4">
      <c r="A39" t="s">
        <v>48</v>
      </c>
      <c r="B39" t="str">
        <f t="shared" si="0"/>
        <v>Duration_of_this_activity__c,</v>
      </c>
      <c r="C39" t="s">
        <v>27</v>
      </c>
      <c r="D39" t="b">
        <v>1</v>
      </c>
      <c r="E39" t="s">
        <v>215</v>
      </c>
      <c r="F39" t="str">
        <f t="shared" si="1"/>
        <v>Duration_of_this_activity__c TEXT,</v>
      </c>
      <c r="G39" t="str">
        <f t="shared" si="2"/>
        <v>%(Duration_of_this_activity__c)s,</v>
      </c>
      <c r="H39" t="str">
        <f t="shared" si="3"/>
        <v>Duration_of_this_activity__c = Excluded.Duration_of_this_activity__c,</v>
      </c>
      <c r="I39" t="str">
        <f t="shared" si="4"/>
        <v>'Duration_of_this_activity__c': cds_record.get('Duration_of_this_activity__c'),</v>
      </c>
    </row>
    <row r="40" spans="1:9" x14ac:dyDescent="0.4">
      <c r="A40" t="s">
        <v>49</v>
      </c>
      <c r="B40" t="str">
        <f t="shared" si="0"/>
        <v>Total_amount_from_pension__c,</v>
      </c>
      <c r="C40" t="s">
        <v>42</v>
      </c>
      <c r="D40" t="b">
        <v>1</v>
      </c>
      <c r="E40" t="s">
        <v>216</v>
      </c>
      <c r="F40" t="str">
        <f t="shared" si="1"/>
        <v>Total_amount_from_pension__c DOUBLE PRECISION,</v>
      </c>
      <c r="G40" t="str">
        <f t="shared" si="2"/>
        <v>%(Total_amount_from_pension__c)s,</v>
      </c>
      <c r="H40" t="str">
        <f t="shared" si="3"/>
        <v>Total_amount_from_pension__c = Excluded.Total_amount_from_pension__c,</v>
      </c>
      <c r="I40" t="str">
        <f t="shared" si="4"/>
        <v>'Total_amount_from_pension__c': cds_record.get('Total_amount_from_pension__c'),</v>
      </c>
    </row>
    <row r="41" spans="1:9" x14ac:dyDescent="0.4">
      <c r="A41" t="s">
        <v>50</v>
      </c>
      <c r="B41" t="str">
        <f t="shared" si="0"/>
        <v>Total_amount_from_salary_government__c,</v>
      </c>
      <c r="C41" t="s">
        <v>42</v>
      </c>
      <c r="D41" t="b">
        <v>1</v>
      </c>
      <c r="E41" t="s">
        <v>216</v>
      </c>
      <c r="F41" t="str">
        <f t="shared" si="1"/>
        <v>Total_amount_from_salary_government__c DOUBLE PRECISION,</v>
      </c>
      <c r="G41" t="str">
        <f t="shared" si="2"/>
        <v>%(Total_amount_from_salary_government__c)s,</v>
      </c>
      <c r="H41" t="str">
        <f t="shared" si="3"/>
        <v>Total_amount_from_salary_government__c = Excluded.Total_amount_from_salary_government__c,</v>
      </c>
      <c r="I41" t="str">
        <f t="shared" si="4"/>
        <v>'Total_amount_from_salary_government__c': cds_record.get('Total_amount_from_salary_government__c'),</v>
      </c>
    </row>
    <row r="42" spans="1:9" x14ac:dyDescent="0.4">
      <c r="A42" t="s">
        <v>51</v>
      </c>
      <c r="B42" t="str">
        <f t="shared" si="0"/>
        <v>Credit_Check_Result__c,</v>
      </c>
      <c r="C42" t="s">
        <v>8</v>
      </c>
      <c r="D42" t="b">
        <v>1</v>
      </c>
      <c r="E42" t="s">
        <v>215</v>
      </c>
      <c r="F42" t="str">
        <f t="shared" si="1"/>
        <v>Credit_Check_Result__c TEXT,</v>
      </c>
      <c r="G42" t="str">
        <f t="shared" si="2"/>
        <v>%(Credit_Check_Result__c)s,</v>
      </c>
      <c r="H42" t="str">
        <f t="shared" si="3"/>
        <v>Credit_Check_Result__c = Excluded.Credit_Check_Result__c,</v>
      </c>
      <c r="I42" t="str">
        <f t="shared" si="4"/>
        <v>'Credit_Check_Result__c': cds_record.get('Credit_Check_Result__c'),</v>
      </c>
    </row>
    <row r="43" spans="1:9" x14ac:dyDescent="0.4">
      <c r="A43" t="s">
        <v>52</v>
      </c>
      <c r="B43" t="str">
        <f t="shared" si="0"/>
        <v>Other_sources_of_income_of_the_household__c,</v>
      </c>
      <c r="C43" t="s">
        <v>27</v>
      </c>
      <c r="D43" t="b">
        <v>1</v>
      </c>
      <c r="E43" t="s">
        <v>215</v>
      </c>
      <c r="F43" t="str">
        <f t="shared" si="1"/>
        <v>Other_sources_of_income_of_the_household__c TEXT,</v>
      </c>
      <c r="G43" t="str">
        <f t="shared" si="2"/>
        <v>%(Other_sources_of_income_of_the_household__c)s,</v>
      </c>
      <c r="H43" t="str">
        <f t="shared" si="3"/>
        <v>Other_sources_of_income_of_the_household__c = Excluded.Other_sources_of_income_of_the_household__c,</v>
      </c>
      <c r="I43" t="str">
        <f t="shared" si="4"/>
        <v>'Other_sources_of_income_of_the_household__c': cds_record.get('Other_sources_of_income_of_the_household__c'),</v>
      </c>
    </row>
    <row r="44" spans="1:9" x14ac:dyDescent="0.4">
      <c r="A44" t="s">
        <v>53</v>
      </c>
      <c r="B44" t="str">
        <f t="shared" si="0"/>
        <v>Credit_Score__c,</v>
      </c>
      <c r="C44" t="s">
        <v>20</v>
      </c>
      <c r="D44" t="b">
        <v>1</v>
      </c>
      <c r="E44" t="s">
        <v>216</v>
      </c>
      <c r="F44" t="str">
        <f t="shared" si="1"/>
        <v>Credit_Score__c DOUBLE PRECISION,</v>
      </c>
      <c r="G44" t="str">
        <f t="shared" si="2"/>
        <v>%(Credit_Score__c)s,</v>
      </c>
      <c r="H44" t="str">
        <f t="shared" si="3"/>
        <v>Credit_Score__c = Excluded.Credit_Score__c,</v>
      </c>
      <c r="I44" t="str">
        <f t="shared" si="4"/>
        <v>'Credit_Score__c': cds_record.get('Credit_Score__c'),</v>
      </c>
    </row>
    <row r="45" spans="1:9" x14ac:dyDescent="0.4">
      <c r="A45" t="s">
        <v>54</v>
      </c>
      <c r="B45" t="str">
        <f t="shared" si="0"/>
        <v>Rate_how_well_the_SA_was_able_to_educate__c,</v>
      </c>
      <c r="C45" t="s">
        <v>27</v>
      </c>
      <c r="D45" t="b">
        <v>1</v>
      </c>
      <c r="E45" t="s">
        <v>215</v>
      </c>
      <c r="F45" t="str">
        <f t="shared" si="1"/>
        <v>Rate_how_well_the_SA_was_able_to_educate__c TEXT,</v>
      </c>
      <c r="G45" t="str">
        <f t="shared" si="2"/>
        <v>%(Rate_how_well_the_SA_was_able_to_educate__c)s,</v>
      </c>
      <c r="H45" t="str">
        <f t="shared" si="3"/>
        <v>Rate_how_well_the_SA_was_able_to_educate__c = Excluded.Rate_how_well_the_SA_was_able_to_educate__c,</v>
      </c>
      <c r="I45" t="str">
        <f t="shared" si="4"/>
        <v>'Rate_how_well_the_SA_was_able_to_educate__c': cds_record.get('Rate_how_well_the_SA_was_able_to_educate__c'),</v>
      </c>
    </row>
    <row r="46" spans="1:9" x14ac:dyDescent="0.4">
      <c r="A46" t="s">
        <v>55</v>
      </c>
      <c r="B46" t="str">
        <f t="shared" si="0"/>
        <v>of_Kenyans_that_pay_suppliers_on_time__c,</v>
      </c>
      <c r="C46" t="s">
        <v>27</v>
      </c>
      <c r="D46" t="b">
        <v>1</v>
      </c>
      <c r="E46" t="s">
        <v>215</v>
      </c>
      <c r="F46" t="str">
        <f t="shared" si="1"/>
        <v>of_Kenyans_that_pay_suppliers_on_time__c TEXT,</v>
      </c>
      <c r="G46" t="str">
        <f t="shared" si="2"/>
        <v>%(of_Kenyans_that_pay_suppliers_on_time__c)s,</v>
      </c>
      <c r="H46" t="str">
        <f t="shared" si="3"/>
        <v>of_Kenyans_that_pay_suppliers_on_time__c = Excluded.of_Kenyans_that_pay_suppliers_on_time__c,</v>
      </c>
      <c r="I46" t="str">
        <f t="shared" si="4"/>
        <v>'of_Kenyans_that_pay_suppliers_on_time__c': cds_record.get('of_Kenyans_that_pay_suppliers_on_time__c'),</v>
      </c>
    </row>
    <row r="47" spans="1:9" x14ac:dyDescent="0.4">
      <c r="A47" t="s">
        <v>56</v>
      </c>
      <c r="B47" t="str">
        <f t="shared" si="0"/>
        <v>of_Kenyans_ever_defaulted_on_a_loan__c,</v>
      </c>
      <c r="C47" t="s">
        <v>27</v>
      </c>
      <c r="D47" t="b">
        <v>1</v>
      </c>
      <c r="E47" t="s">
        <v>215</v>
      </c>
      <c r="F47" t="str">
        <f t="shared" si="1"/>
        <v>of_Kenyans_ever_defaulted_on_a_loan__c TEXT,</v>
      </c>
      <c r="G47" t="str">
        <f t="shared" si="2"/>
        <v>%(of_Kenyans_ever_defaulted_on_a_loan__c)s,</v>
      </c>
      <c r="H47" t="str">
        <f t="shared" si="3"/>
        <v>of_Kenyans_ever_defaulted_on_a_loan__c = Excluded.of_Kenyans_ever_defaulted_on_a_loan__c,</v>
      </c>
      <c r="I47" t="str">
        <f t="shared" si="4"/>
        <v>'of_Kenyans_ever_defaulted_on_a_loan__c': cds_record.get('of_Kenyans_ever_defaulted_on_a_loan__c'),</v>
      </c>
    </row>
    <row r="48" spans="1:9" x14ac:dyDescent="0.4">
      <c r="A48" t="s">
        <v>57</v>
      </c>
      <c r="B48" t="str">
        <f t="shared" si="0"/>
        <v>What_would_you_do_if_you_win_Ksh100_000__c,</v>
      </c>
      <c r="C48" t="s">
        <v>27</v>
      </c>
      <c r="D48" t="b">
        <v>1</v>
      </c>
      <c r="E48" t="s">
        <v>215</v>
      </c>
      <c r="F48" t="str">
        <f t="shared" si="1"/>
        <v>What_would_you_do_if_you_win_Ksh100_000__c TEXT,</v>
      </c>
      <c r="G48" t="str">
        <f t="shared" si="2"/>
        <v>%(What_would_you_do_if_you_win_Ksh100_000__c)s,</v>
      </c>
      <c r="H48" t="str">
        <f t="shared" si="3"/>
        <v>What_would_you_do_if_you_win_Ksh100_000__c = Excluded.What_would_you_do_if_you_win_Ksh100_000__c,</v>
      </c>
      <c r="I48" t="str">
        <f t="shared" si="4"/>
        <v>'What_would_you_do_if_you_win_Ksh100_000__c': cds_record.get('What_would_you_do_if_you_win_Ksh100_000__c'),</v>
      </c>
    </row>
    <row r="49" spans="1:9" x14ac:dyDescent="0.4">
      <c r="A49" t="s">
        <v>58</v>
      </c>
      <c r="B49" t="str">
        <f t="shared" si="0"/>
        <v>Overall_Risk_Assessment__c,</v>
      </c>
      <c r="C49" t="s">
        <v>27</v>
      </c>
      <c r="D49" t="b">
        <v>1</v>
      </c>
      <c r="E49" t="s">
        <v>215</v>
      </c>
      <c r="F49" t="str">
        <f t="shared" si="1"/>
        <v>Overall_Risk_Assessment__c TEXT,</v>
      </c>
      <c r="G49" t="str">
        <f t="shared" si="2"/>
        <v>%(Overall_Risk_Assessment__c)s,</v>
      </c>
      <c r="H49" t="str">
        <f t="shared" si="3"/>
        <v>Overall_Risk_Assessment__c = Excluded.Overall_Risk_Assessment__c,</v>
      </c>
      <c r="I49" t="str">
        <f t="shared" si="4"/>
        <v>'Overall_Risk_Assessment__c': cds_record.get('Overall_Risk_Assessment__c'),</v>
      </c>
    </row>
    <row r="50" spans="1:9" x14ac:dyDescent="0.4">
      <c r="A50" t="s">
        <v>59</v>
      </c>
      <c r="B50" t="str">
        <f t="shared" si="0"/>
        <v>Relation_Manager__c,</v>
      </c>
      <c r="C50" t="s">
        <v>4</v>
      </c>
      <c r="D50" t="b">
        <v>1</v>
      </c>
      <c r="E50" t="s">
        <v>215</v>
      </c>
      <c r="F50" t="str">
        <f t="shared" si="1"/>
        <v>Relation_Manager__c TEXT,</v>
      </c>
      <c r="G50" t="str">
        <f t="shared" si="2"/>
        <v>%(Relation_Manager__c)s,</v>
      </c>
      <c r="H50" t="str">
        <f t="shared" si="3"/>
        <v>Relation_Manager__c = Excluded.Relation_Manager__c,</v>
      </c>
      <c r="I50" t="str">
        <f t="shared" si="4"/>
        <v>'Relation_Manager__c': cds_record.get('Relation_Manager__c'),</v>
      </c>
    </row>
    <row r="51" spans="1:9" x14ac:dyDescent="0.4">
      <c r="A51" t="s">
        <v>60</v>
      </c>
      <c r="B51" t="str">
        <f t="shared" si="0"/>
        <v>Types_of_crops_grown__c,</v>
      </c>
      <c r="C51" t="s">
        <v>27</v>
      </c>
      <c r="D51" t="b">
        <v>1</v>
      </c>
      <c r="E51" t="s">
        <v>215</v>
      </c>
      <c r="F51" t="str">
        <f t="shared" si="1"/>
        <v>Types_of_crops_grown__c TEXT,</v>
      </c>
      <c r="G51" t="str">
        <f t="shared" si="2"/>
        <v>%(Types_of_crops_grown__c)s,</v>
      </c>
      <c r="H51" t="str">
        <f t="shared" si="3"/>
        <v>Types_of_crops_grown__c = Excluded.Types_of_crops_grown__c,</v>
      </c>
      <c r="I51" t="str">
        <f t="shared" si="4"/>
        <v>'Types_of_crops_grown__c': cds_record.get('Types_of_crops_grown__c'),</v>
      </c>
    </row>
    <row r="52" spans="1:9" x14ac:dyDescent="0.4">
      <c r="A52" t="s">
        <v>61</v>
      </c>
      <c r="B52" t="str">
        <f t="shared" si="0"/>
        <v>National_ID_Number_Lead__c,</v>
      </c>
      <c r="C52" t="s">
        <v>8</v>
      </c>
      <c r="D52" t="b">
        <v>1</v>
      </c>
      <c r="E52" t="s">
        <v>215</v>
      </c>
      <c r="F52" t="str">
        <f t="shared" si="1"/>
        <v>National_ID_Number_Lead__c TEXT,</v>
      </c>
      <c r="G52" t="str">
        <f t="shared" si="2"/>
        <v>%(National_ID_Number_Lead__c)s,</v>
      </c>
      <c r="H52" t="str">
        <f t="shared" si="3"/>
        <v>National_ID_Number_Lead__c = Excluded.National_ID_Number_Lead__c,</v>
      </c>
      <c r="I52" t="str">
        <f t="shared" si="4"/>
        <v>'National_ID_Number_Lead__c': cds_record.get('National_ID_Number_Lead__c'),</v>
      </c>
    </row>
    <row r="53" spans="1:9" x14ac:dyDescent="0.4">
      <c r="A53" t="s">
        <v>62</v>
      </c>
      <c r="B53" t="str">
        <f t="shared" si="0"/>
        <v>House_Members_F__c,</v>
      </c>
      <c r="C53" t="s">
        <v>6</v>
      </c>
      <c r="D53" t="b">
        <v>1</v>
      </c>
      <c r="E53" t="s">
        <v>215</v>
      </c>
      <c r="F53" t="str">
        <f t="shared" si="1"/>
        <v>House_Members_F__c TEXT,</v>
      </c>
      <c r="G53" t="str">
        <f t="shared" si="2"/>
        <v>%(House_Members_F__c)s,</v>
      </c>
      <c r="H53" t="str">
        <f t="shared" si="3"/>
        <v>House_Members_F__c = Excluded.House_Members_F__c,</v>
      </c>
      <c r="I53" t="str">
        <f t="shared" si="4"/>
        <v>'House_Members_F__c': cds_record.get('House_Members_F__c'),</v>
      </c>
    </row>
    <row r="54" spans="1:9" x14ac:dyDescent="0.4">
      <c r="A54" t="s">
        <v>63</v>
      </c>
      <c r="B54" t="str">
        <f t="shared" si="0"/>
        <v>Gender_Lead__c,</v>
      </c>
      <c r="C54" t="s">
        <v>8</v>
      </c>
      <c r="D54" t="b">
        <v>1</v>
      </c>
      <c r="E54" t="s">
        <v>215</v>
      </c>
      <c r="F54" t="str">
        <f t="shared" si="1"/>
        <v>Gender_Lead__c TEXT,</v>
      </c>
      <c r="G54" t="str">
        <f t="shared" si="2"/>
        <v>%(Gender_Lead__c)s,</v>
      </c>
      <c r="H54" t="str">
        <f t="shared" si="3"/>
        <v>Gender_Lead__c = Excluded.Gender_Lead__c,</v>
      </c>
      <c r="I54" t="str">
        <f t="shared" si="4"/>
        <v>'Gender_Lead__c': cds_record.get('Gender_Lead__c'),</v>
      </c>
    </row>
    <row r="55" spans="1:9" x14ac:dyDescent="0.4">
      <c r="A55" t="s">
        <v>64</v>
      </c>
      <c r="B55" t="str">
        <f t="shared" si="0"/>
        <v>Mobile_Lead__c,</v>
      </c>
      <c r="C55" t="s">
        <v>8</v>
      </c>
      <c r="D55" t="b">
        <v>1</v>
      </c>
      <c r="E55" t="s">
        <v>215</v>
      </c>
      <c r="F55" t="str">
        <f t="shared" si="1"/>
        <v>Mobile_Lead__c TEXT,</v>
      </c>
      <c r="G55" t="str">
        <f t="shared" si="2"/>
        <v>%(Mobile_Lead__c)s,</v>
      </c>
      <c r="H55" t="str">
        <f t="shared" si="3"/>
        <v>Mobile_Lead__c = Excluded.Mobile_Lead__c,</v>
      </c>
      <c r="I55" t="str">
        <f t="shared" si="4"/>
        <v>'Mobile_Lead__c': cds_record.get('Mobile_Lead__c'),</v>
      </c>
    </row>
    <row r="56" spans="1:9" x14ac:dyDescent="0.4">
      <c r="A56" t="s">
        <v>65</v>
      </c>
      <c r="B56" t="str">
        <f t="shared" si="0"/>
        <v>How_long_have_you_had_the_same_phone_No__c,</v>
      </c>
      <c r="C56" t="s">
        <v>27</v>
      </c>
      <c r="D56" t="b">
        <v>1</v>
      </c>
      <c r="E56" t="s">
        <v>215</v>
      </c>
      <c r="F56" t="str">
        <f t="shared" si="1"/>
        <v>How_long_have_you_had_the_same_phone_No__c TEXT,</v>
      </c>
      <c r="G56" t="str">
        <f t="shared" si="2"/>
        <v>%(How_long_have_you_had_the_same_phone_No__c)s,</v>
      </c>
      <c r="H56" t="str">
        <f t="shared" si="3"/>
        <v>How_long_have_you_had_the_same_phone_No__c = Excluded.How_long_have_you_had_the_same_phone_No__c,</v>
      </c>
      <c r="I56" t="str">
        <f t="shared" si="4"/>
        <v>'How_long_have_you_had_the_same_phone_No__c': cds_record.get('How_long_have_you_had_the_same_phone_No__c'),</v>
      </c>
    </row>
    <row r="57" spans="1:9" x14ac:dyDescent="0.4">
      <c r="A57" t="s">
        <v>66</v>
      </c>
      <c r="B57" t="str">
        <f t="shared" si="0"/>
        <v>Email_Address_Lead__c,</v>
      </c>
      <c r="C57" t="s">
        <v>8</v>
      </c>
      <c r="D57" t="b">
        <v>1</v>
      </c>
      <c r="E57" t="s">
        <v>215</v>
      </c>
      <c r="F57" t="str">
        <f t="shared" si="1"/>
        <v>Email_Address_Lead__c TEXT,</v>
      </c>
      <c r="G57" t="str">
        <f t="shared" si="2"/>
        <v>%(Email_Address_Lead__c)s,</v>
      </c>
      <c r="H57" t="str">
        <f t="shared" si="3"/>
        <v>Email_Address_Lead__c = Excluded.Email_Address_Lead__c,</v>
      </c>
      <c r="I57" t="str">
        <f t="shared" si="4"/>
        <v>'Email_Address_Lead__c': cds_record.get('Email_Address_Lead__c'),</v>
      </c>
    </row>
    <row r="58" spans="1:9" x14ac:dyDescent="0.4">
      <c r="A58" t="s">
        <v>67</v>
      </c>
      <c r="B58" t="str">
        <f t="shared" si="0"/>
        <v>County_in_which_HouseHold_resides__c,</v>
      </c>
      <c r="C58" t="s">
        <v>27</v>
      </c>
      <c r="D58" t="b">
        <v>1</v>
      </c>
      <c r="E58" t="s">
        <v>215</v>
      </c>
      <c r="F58" t="str">
        <f t="shared" si="1"/>
        <v>County_in_which_HouseHold_resides__c TEXT,</v>
      </c>
      <c r="G58" t="str">
        <f t="shared" si="2"/>
        <v>%(County_in_which_HouseHold_resides__c)s,</v>
      </c>
      <c r="H58" t="str">
        <f t="shared" si="3"/>
        <v>County_in_which_HouseHold_resides__c = Excluded.County_in_which_HouseHold_resides__c,</v>
      </c>
      <c r="I58" t="str">
        <f t="shared" si="4"/>
        <v>'County_in_which_HouseHold_resides__c': cds_record.get('County_in_which_HouseHold_resides__c'),</v>
      </c>
    </row>
    <row r="59" spans="1:9" x14ac:dyDescent="0.4">
      <c r="A59" t="s">
        <v>68</v>
      </c>
      <c r="B59" t="str">
        <f t="shared" si="0"/>
        <v>Living_in_the_same_location_for__c,</v>
      </c>
      <c r="C59" t="s">
        <v>27</v>
      </c>
      <c r="D59" t="b">
        <v>1</v>
      </c>
      <c r="E59" t="s">
        <v>215</v>
      </c>
      <c r="F59" t="str">
        <f t="shared" si="1"/>
        <v>Living_in_the_same_location_for__c TEXT,</v>
      </c>
      <c r="G59" t="str">
        <f t="shared" si="2"/>
        <v>%(Living_in_the_same_location_for__c)s,</v>
      </c>
      <c r="H59" t="str">
        <f t="shared" si="3"/>
        <v>Living_in_the_same_location_for__c = Excluded.Living_in_the_same_location_for__c,</v>
      </c>
      <c r="I59" t="str">
        <f t="shared" si="4"/>
        <v>'Living_in_the_same_location_for__c': cds_record.get('Living_in_the_same_location_for__c'),</v>
      </c>
    </row>
    <row r="60" spans="1:9" x14ac:dyDescent="0.4">
      <c r="A60" t="s">
        <v>69</v>
      </c>
      <c r="B60" t="str">
        <f t="shared" si="0"/>
        <v>Relation_with_next_of_kin__c,</v>
      </c>
      <c r="C60" t="s">
        <v>27</v>
      </c>
      <c r="D60" t="b">
        <v>1</v>
      </c>
      <c r="E60" t="s">
        <v>215</v>
      </c>
      <c r="F60" t="str">
        <f t="shared" si="1"/>
        <v>Relation_with_next_of_kin__c TEXT,</v>
      </c>
      <c r="G60" t="str">
        <f t="shared" si="2"/>
        <v>%(Relation_with_next_of_kin__c)s,</v>
      </c>
      <c r="H60" t="str">
        <f t="shared" si="3"/>
        <v>Relation_with_next_of_kin__c = Excluded.Relation_with_next_of_kin__c,</v>
      </c>
      <c r="I60" t="str">
        <f t="shared" si="4"/>
        <v>'Relation_with_next_of_kin__c': cds_record.get('Relation_with_next_of_kin__c'),</v>
      </c>
    </row>
    <row r="61" spans="1:9" x14ac:dyDescent="0.4">
      <c r="A61" t="s">
        <v>70</v>
      </c>
      <c r="B61" t="str">
        <f t="shared" si="0"/>
        <v>Number_of_Household_Members__c,</v>
      </c>
      <c r="C61" t="s">
        <v>27</v>
      </c>
      <c r="D61" t="b">
        <v>1</v>
      </c>
      <c r="E61" t="s">
        <v>215</v>
      </c>
      <c r="F61" t="str">
        <f t="shared" si="1"/>
        <v>Number_of_Household_Members__c TEXT,</v>
      </c>
      <c r="G61" t="str">
        <f t="shared" si="2"/>
        <v>%(Number_of_Household_Members__c)s,</v>
      </c>
      <c r="H61" t="str">
        <f t="shared" si="3"/>
        <v>Number_of_Household_Members__c = Excluded.Number_of_Household_Members__c,</v>
      </c>
      <c r="I61" t="str">
        <f t="shared" si="4"/>
        <v>'Number_of_Household_Members__c': cds_record.get('Number_of_Household_Members__c'),</v>
      </c>
    </row>
    <row r="62" spans="1:9" x14ac:dyDescent="0.4">
      <c r="A62" t="s">
        <v>71</v>
      </c>
      <c r="B62" t="str">
        <f t="shared" si="0"/>
        <v>Product_Lead__c,</v>
      </c>
      <c r="C62" t="s">
        <v>8</v>
      </c>
      <c r="D62" t="b">
        <v>1</v>
      </c>
      <c r="E62" t="s">
        <v>215</v>
      </c>
      <c r="F62" t="str">
        <f t="shared" si="1"/>
        <v>Product_Lead__c TEXT,</v>
      </c>
      <c r="G62" t="str">
        <f t="shared" si="2"/>
        <v>%(Product_Lead__c)s,</v>
      </c>
      <c r="H62" t="str">
        <f t="shared" si="3"/>
        <v>Product_Lead__c = Excluded.Product_Lead__c,</v>
      </c>
      <c r="I62" t="str">
        <f t="shared" si="4"/>
        <v>'Product_Lead__c': cds_record.get('Product_Lead__c'),</v>
      </c>
    </row>
    <row r="63" spans="1:9" x14ac:dyDescent="0.4">
      <c r="A63" t="s">
        <v>72</v>
      </c>
      <c r="B63" t="str">
        <f t="shared" si="0"/>
        <v>Ready_to_make_the_deposit_on__c,</v>
      </c>
      <c r="C63" t="s">
        <v>16</v>
      </c>
      <c r="D63" t="b">
        <v>1</v>
      </c>
      <c r="E63" t="s">
        <v>217</v>
      </c>
      <c r="F63" t="str">
        <f t="shared" si="1"/>
        <v>Ready_to_make_the_deposit_on__c TIMESTAMP,</v>
      </c>
      <c r="G63" t="str">
        <f t="shared" si="2"/>
        <v>%(Ready_to_make_the_deposit_on__c)s,</v>
      </c>
      <c r="H63" t="str">
        <f t="shared" si="3"/>
        <v>Ready_to_make_the_deposit_on__c = Excluded.Ready_to_make_the_deposit_on__c,</v>
      </c>
      <c r="I63" t="str">
        <f t="shared" si="4"/>
        <v>'Ready_to_make_the_deposit_on__c': cds_record.get('Ready_to_make_the_deposit_on__c'),</v>
      </c>
    </row>
    <row r="64" spans="1:9" x14ac:dyDescent="0.4">
      <c r="A64" t="s">
        <v>73</v>
      </c>
      <c r="B64" t="str">
        <f t="shared" si="0"/>
        <v>Amount_left_after_monthly_expenses__c,</v>
      </c>
      <c r="C64" t="s">
        <v>42</v>
      </c>
      <c r="D64" t="b">
        <v>1</v>
      </c>
      <c r="E64" t="s">
        <v>216</v>
      </c>
      <c r="F64" t="str">
        <f t="shared" si="1"/>
        <v>Amount_left_after_monthly_expenses__c DOUBLE PRECISION,</v>
      </c>
      <c r="G64" t="str">
        <f t="shared" si="2"/>
        <v>%(Amount_left_after_monthly_expenses__c)s,</v>
      </c>
      <c r="H64" t="str">
        <f t="shared" si="3"/>
        <v>Amount_left_after_monthly_expenses__c = Excluded.Amount_left_after_monthly_expenses__c,</v>
      </c>
      <c r="I64" t="str">
        <f t="shared" si="4"/>
        <v>'Amount_left_after_monthly_expenses__c': cds_record.get('Amount_left_after_monthly_expenses__c'),</v>
      </c>
    </row>
    <row r="65" spans="1:9" x14ac:dyDescent="0.4">
      <c r="A65" t="s">
        <v>74</v>
      </c>
      <c r="B65" t="str">
        <f t="shared" si="0"/>
        <v>Type_of_crops_grown__c,</v>
      </c>
      <c r="C65" t="s">
        <v>27</v>
      </c>
      <c r="D65" t="b">
        <v>1</v>
      </c>
      <c r="E65" t="s">
        <v>215</v>
      </c>
      <c r="F65" t="str">
        <f t="shared" si="1"/>
        <v>Type_of_crops_grown__c TEXT,</v>
      </c>
      <c r="G65" t="str">
        <f t="shared" si="2"/>
        <v>%(Type_of_crops_grown__c)s,</v>
      </c>
      <c r="H65" t="str">
        <f t="shared" si="3"/>
        <v>Type_of_crops_grown__c = Excluded.Type_of_crops_grown__c,</v>
      </c>
      <c r="I65" t="str">
        <f t="shared" si="4"/>
        <v>'Type_of_crops_grown__c': cds_record.get('Type_of_crops_grown__c'),</v>
      </c>
    </row>
    <row r="66" spans="1:9" x14ac:dyDescent="0.4">
      <c r="A66" t="s">
        <v>75</v>
      </c>
      <c r="B66" t="str">
        <f t="shared" si="0"/>
        <v>Crop_Grown__c,</v>
      </c>
      <c r="C66" t="s">
        <v>27</v>
      </c>
      <c r="D66" t="b">
        <v>1</v>
      </c>
      <c r="E66" t="s">
        <v>215</v>
      </c>
      <c r="F66" t="str">
        <f t="shared" si="1"/>
        <v>Crop_Grown__c TEXT,</v>
      </c>
      <c r="G66" t="str">
        <f t="shared" si="2"/>
        <v>%(Crop_Grown__c)s,</v>
      </c>
      <c r="H66" t="str">
        <f t="shared" si="3"/>
        <v>Crop_Grown__c = Excluded.Crop_Grown__c,</v>
      </c>
      <c r="I66" t="str">
        <f t="shared" si="4"/>
        <v>'Crop_Grown__c': cds_record.get('Crop_Grown__c'),</v>
      </c>
    </row>
    <row r="67" spans="1:9" x14ac:dyDescent="0.4">
      <c r="A67" t="s">
        <v>76</v>
      </c>
      <c r="B67" t="str">
        <f t="shared" ref="B67:B130" si="5">_xlfn.CONCAT(A67,",")</f>
        <v>Wheat_sale__c,</v>
      </c>
      <c r="C67" t="s">
        <v>6</v>
      </c>
      <c r="D67" t="b">
        <v>1</v>
      </c>
      <c r="E67" t="s">
        <v>215</v>
      </c>
      <c r="F67" t="str">
        <f t="shared" ref="F67:F130" si="6">_xlfn.CONCAT(A67, " ", E67, ",")</f>
        <v>Wheat_sale__c TEXT,</v>
      </c>
      <c r="G67" t="str">
        <f t="shared" ref="G67:G130" si="7">_xlfn.CONCAT("%(",A67,")s,")</f>
        <v>%(Wheat_sale__c)s,</v>
      </c>
      <c r="H67" t="str">
        <f t="shared" ref="H67:H130" si="8">_xlfn.CONCAT(A67, " = Excluded.",A67,",")</f>
        <v>Wheat_sale__c = Excluded.Wheat_sale__c,</v>
      </c>
      <c r="I67" t="str">
        <f t="shared" ref="I67:I130" si="9">_xlfn.CONCAT("'",A67,"': cds_record.get('",A67,"'),")</f>
        <v>'Wheat_sale__c': cds_record.get('Wheat_sale__c'),</v>
      </c>
    </row>
    <row r="68" spans="1:9" x14ac:dyDescent="0.4">
      <c r="A68" t="s">
        <v>77</v>
      </c>
      <c r="B68" t="str">
        <f t="shared" si="5"/>
        <v>Maize_sale__c,</v>
      </c>
      <c r="C68" t="s">
        <v>6</v>
      </c>
      <c r="D68" t="b">
        <v>1</v>
      </c>
      <c r="E68" t="s">
        <v>215</v>
      </c>
      <c r="F68" t="str">
        <f t="shared" si="6"/>
        <v>Maize_sale__c TEXT,</v>
      </c>
      <c r="G68" t="str">
        <f t="shared" si="7"/>
        <v>%(Maize_sale__c)s,</v>
      </c>
      <c r="H68" t="str">
        <f t="shared" si="8"/>
        <v>Maize_sale__c = Excluded.Maize_sale__c,</v>
      </c>
      <c r="I68" t="str">
        <f t="shared" si="9"/>
        <v>'Maize_sale__c': cds_record.get('Maize_sale__c'),</v>
      </c>
    </row>
    <row r="69" spans="1:9" x14ac:dyDescent="0.4">
      <c r="A69" t="s">
        <v>78</v>
      </c>
      <c r="B69" t="str">
        <f t="shared" si="5"/>
        <v>Paddy_sale__c,</v>
      </c>
      <c r="C69" t="s">
        <v>6</v>
      </c>
      <c r="D69" t="b">
        <v>1</v>
      </c>
      <c r="E69" t="s">
        <v>215</v>
      </c>
      <c r="F69" t="str">
        <f t="shared" si="6"/>
        <v>Paddy_sale__c TEXT,</v>
      </c>
      <c r="G69" t="str">
        <f t="shared" si="7"/>
        <v>%(Paddy_sale__c)s,</v>
      </c>
      <c r="H69" t="str">
        <f t="shared" si="8"/>
        <v>Paddy_sale__c = Excluded.Paddy_sale__c,</v>
      </c>
      <c r="I69" t="str">
        <f t="shared" si="9"/>
        <v>'Paddy_sale__c': cds_record.get('Paddy_sale__c'),</v>
      </c>
    </row>
    <row r="70" spans="1:9" x14ac:dyDescent="0.4">
      <c r="A70" t="s">
        <v>79</v>
      </c>
      <c r="B70" t="str">
        <f t="shared" si="5"/>
        <v>Irish_potatoes_sale__c,</v>
      </c>
      <c r="C70" t="s">
        <v>6</v>
      </c>
      <c r="D70" t="b">
        <v>1</v>
      </c>
      <c r="E70" t="s">
        <v>215</v>
      </c>
      <c r="F70" t="str">
        <f t="shared" si="6"/>
        <v>Irish_potatoes_sale__c TEXT,</v>
      </c>
      <c r="G70" t="str">
        <f t="shared" si="7"/>
        <v>%(Irish_potatoes_sale__c)s,</v>
      </c>
      <c r="H70" t="str">
        <f t="shared" si="8"/>
        <v>Irish_potatoes_sale__c = Excluded.Irish_potatoes_sale__c,</v>
      </c>
      <c r="I70" t="str">
        <f t="shared" si="9"/>
        <v>'Irish_potatoes_sale__c': cds_record.get('Irish_potatoes_sale__c'),</v>
      </c>
    </row>
    <row r="71" spans="1:9" x14ac:dyDescent="0.4">
      <c r="A71" t="s">
        <v>80</v>
      </c>
      <c r="B71" t="str">
        <f t="shared" si="5"/>
        <v>Cassava_sale__c,</v>
      </c>
      <c r="C71" t="s">
        <v>6</v>
      </c>
      <c r="D71" t="b">
        <v>1</v>
      </c>
      <c r="E71" t="s">
        <v>215</v>
      </c>
      <c r="F71" t="str">
        <f t="shared" si="6"/>
        <v>Cassava_sale__c TEXT,</v>
      </c>
      <c r="G71" t="str">
        <f t="shared" si="7"/>
        <v>%(Cassava_sale__c)s,</v>
      </c>
      <c r="H71" t="str">
        <f t="shared" si="8"/>
        <v>Cassava_sale__c = Excluded.Cassava_sale__c,</v>
      </c>
      <c r="I71" t="str">
        <f t="shared" si="9"/>
        <v>'Cassava_sale__c': cds_record.get('Cassava_sale__c'),</v>
      </c>
    </row>
    <row r="72" spans="1:9" x14ac:dyDescent="0.4">
      <c r="A72" t="s">
        <v>81</v>
      </c>
      <c r="B72" t="str">
        <f t="shared" si="5"/>
        <v>Beans_sale__c,</v>
      </c>
      <c r="C72" t="s">
        <v>6</v>
      </c>
      <c r="D72" t="b">
        <v>1</v>
      </c>
      <c r="E72" t="s">
        <v>215</v>
      </c>
      <c r="F72" t="str">
        <f t="shared" si="6"/>
        <v>Beans_sale__c TEXT,</v>
      </c>
      <c r="G72" t="str">
        <f t="shared" si="7"/>
        <v>%(Beans_sale__c)s,</v>
      </c>
      <c r="H72" t="str">
        <f t="shared" si="8"/>
        <v>Beans_sale__c = Excluded.Beans_sale__c,</v>
      </c>
      <c r="I72" t="str">
        <f t="shared" si="9"/>
        <v>'Beans_sale__c': cds_record.get('Beans_sale__c'),</v>
      </c>
    </row>
    <row r="73" spans="1:9" x14ac:dyDescent="0.4">
      <c r="A73" t="s">
        <v>82</v>
      </c>
      <c r="B73" t="str">
        <f t="shared" si="5"/>
        <v>Sunflower_sale__c,</v>
      </c>
      <c r="C73" t="s">
        <v>6</v>
      </c>
      <c r="D73" t="b">
        <v>1</v>
      </c>
      <c r="E73" t="s">
        <v>215</v>
      </c>
      <c r="F73" t="str">
        <f t="shared" si="6"/>
        <v>Sunflower_sale__c TEXT,</v>
      </c>
      <c r="G73" t="str">
        <f t="shared" si="7"/>
        <v>%(Sunflower_sale__c)s,</v>
      </c>
      <c r="H73" t="str">
        <f t="shared" si="8"/>
        <v>Sunflower_sale__c = Excluded.Sunflower_sale__c,</v>
      </c>
      <c r="I73" t="str">
        <f t="shared" si="9"/>
        <v>'Sunflower_sale__c': cds_record.get('Sunflower_sale__c'),</v>
      </c>
    </row>
    <row r="74" spans="1:9" x14ac:dyDescent="0.4">
      <c r="A74" t="s">
        <v>83</v>
      </c>
      <c r="B74" t="str">
        <f t="shared" si="5"/>
        <v>Groundnuts_sale__c,</v>
      </c>
      <c r="C74" t="s">
        <v>6</v>
      </c>
      <c r="D74" t="b">
        <v>1</v>
      </c>
      <c r="E74" t="s">
        <v>215</v>
      </c>
      <c r="F74" t="str">
        <f t="shared" si="6"/>
        <v>Groundnuts_sale__c TEXT,</v>
      </c>
      <c r="G74" t="str">
        <f t="shared" si="7"/>
        <v>%(Groundnuts_sale__c)s,</v>
      </c>
      <c r="H74" t="str">
        <f t="shared" si="8"/>
        <v>Groundnuts_sale__c = Excluded.Groundnuts_sale__c,</v>
      </c>
      <c r="I74" t="str">
        <f t="shared" si="9"/>
        <v>'Groundnuts_sale__c': cds_record.get('Groundnuts_sale__c'),</v>
      </c>
    </row>
    <row r="75" spans="1:9" x14ac:dyDescent="0.4">
      <c r="A75" t="s">
        <v>84</v>
      </c>
      <c r="B75" t="str">
        <f t="shared" si="5"/>
        <v>Other_stable_field_crops_sale__c,</v>
      </c>
      <c r="C75" t="s">
        <v>6</v>
      </c>
      <c r="D75" t="b">
        <v>1</v>
      </c>
      <c r="E75" t="s">
        <v>215</v>
      </c>
      <c r="F75" t="str">
        <f t="shared" si="6"/>
        <v>Other_stable_field_crops_sale__c TEXT,</v>
      </c>
      <c r="G75" t="str">
        <f t="shared" si="7"/>
        <v>%(Other_stable_field_crops_sale__c)s,</v>
      </c>
      <c r="H75" t="str">
        <f t="shared" si="8"/>
        <v>Other_stable_field_crops_sale__c = Excluded.Other_stable_field_crops_sale__c,</v>
      </c>
      <c r="I75" t="str">
        <f t="shared" si="9"/>
        <v>'Other_stable_field_crops_sale__c': cds_record.get('Other_stable_field_crops_sale__c'),</v>
      </c>
    </row>
    <row r="76" spans="1:9" x14ac:dyDescent="0.4">
      <c r="A76" t="s">
        <v>85</v>
      </c>
      <c r="B76" t="str">
        <f t="shared" si="5"/>
        <v>Wheat_self_consumption__c,</v>
      </c>
      <c r="C76" t="s">
        <v>6</v>
      </c>
      <c r="D76" t="b">
        <v>1</v>
      </c>
      <c r="E76" t="s">
        <v>215</v>
      </c>
      <c r="F76" t="str">
        <f t="shared" si="6"/>
        <v>Wheat_self_consumption__c TEXT,</v>
      </c>
      <c r="G76" t="str">
        <f t="shared" si="7"/>
        <v>%(Wheat_self_consumption__c)s,</v>
      </c>
      <c r="H76" t="str">
        <f t="shared" si="8"/>
        <v>Wheat_self_consumption__c = Excluded.Wheat_self_consumption__c,</v>
      </c>
      <c r="I76" t="str">
        <f t="shared" si="9"/>
        <v>'Wheat_self_consumption__c': cds_record.get('Wheat_self_consumption__c'),</v>
      </c>
    </row>
    <row r="77" spans="1:9" x14ac:dyDescent="0.4">
      <c r="A77" t="s">
        <v>86</v>
      </c>
      <c r="B77" t="str">
        <f t="shared" si="5"/>
        <v>Maize_self_consumption__c,</v>
      </c>
      <c r="C77" t="s">
        <v>6</v>
      </c>
      <c r="D77" t="b">
        <v>1</v>
      </c>
      <c r="E77" t="s">
        <v>215</v>
      </c>
      <c r="F77" t="str">
        <f t="shared" si="6"/>
        <v>Maize_self_consumption__c TEXT,</v>
      </c>
      <c r="G77" t="str">
        <f t="shared" si="7"/>
        <v>%(Maize_self_consumption__c)s,</v>
      </c>
      <c r="H77" t="str">
        <f t="shared" si="8"/>
        <v>Maize_self_consumption__c = Excluded.Maize_self_consumption__c,</v>
      </c>
      <c r="I77" t="str">
        <f t="shared" si="9"/>
        <v>'Maize_self_consumption__c': cds_record.get('Maize_self_consumption__c'),</v>
      </c>
    </row>
    <row r="78" spans="1:9" x14ac:dyDescent="0.4">
      <c r="A78" t="s">
        <v>87</v>
      </c>
      <c r="B78" t="str">
        <f t="shared" si="5"/>
        <v>Paddy_self_consumption__c,</v>
      </c>
      <c r="C78" t="s">
        <v>6</v>
      </c>
      <c r="D78" t="b">
        <v>1</v>
      </c>
      <c r="E78" t="s">
        <v>215</v>
      </c>
      <c r="F78" t="str">
        <f t="shared" si="6"/>
        <v>Paddy_self_consumption__c TEXT,</v>
      </c>
      <c r="G78" t="str">
        <f t="shared" si="7"/>
        <v>%(Paddy_self_consumption__c)s,</v>
      </c>
      <c r="H78" t="str">
        <f t="shared" si="8"/>
        <v>Paddy_self_consumption__c = Excluded.Paddy_self_consumption__c,</v>
      </c>
      <c r="I78" t="str">
        <f t="shared" si="9"/>
        <v>'Paddy_self_consumption__c': cds_record.get('Paddy_self_consumption__c'),</v>
      </c>
    </row>
    <row r="79" spans="1:9" x14ac:dyDescent="0.4">
      <c r="A79" t="s">
        <v>88</v>
      </c>
      <c r="B79" t="str">
        <f t="shared" si="5"/>
        <v>Irish_potatoes_self_consumption__c,</v>
      </c>
      <c r="C79" t="s">
        <v>6</v>
      </c>
      <c r="D79" t="b">
        <v>1</v>
      </c>
      <c r="E79" t="s">
        <v>215</v>
      </c>
      <c r="F79" t="str">
        <f t="shared" si="6"/>
        <v>Irish_potatoes_self_consumption__c TEXT,</v>
      </c>
      <c r="G79" t="str">
        <f t="shared" si="7"/>
        <v>%(Irish_potatoes_self_consumption__c)s,</v>
      </c>
      <c r="H79" t="str">
        <f t="shared" si="8"/>
        <v>Irish_potatoes_self_consumption__c = Excluded.Irish_potatoes_self_consumption__c,</v>
      </c>
      <c r="I79" t="str">
        <f t="shared" si="9"/>
        <v>'Irish_potatoes_self_consumption__c': cds_record.get('Irish_potatoes_self_consumption__c'),</v>
      </c>
    </row>
    <row r="80" spans="1:9" x14ac:dyDescent="0.4">
      <c r="A80" t="s">
        <v>89</v>
      </c>
      <c r="B80" t="str">
        <f t="shared" si="5"/>
        <v>Cassava_self_consumption__c,</v>
      </c>
      <c r="C80" t="s">
        <v>6</v>
      </c>
      <c r="D80" t="b">
        <v>1</v>
      </c>
      <c r="E80" t="s">
        <v>215</v>
      </c>
      <c r="F80" t="str">
        <f t="shared" si="6"/>
        <v>Cassava_self_consumption__c TEXT,</v>
      </c>
      <c r="G80" t="str">
        <f t="shared" si="7"/>
        <v>%(Cassava_self_consumption__c)s,</v>
      </c>
      <c r="H80" t="str">
        <f t="shared" si="8"/>
        <v>Cassava_self_consumption__c = Excluded.Cassava_self_consumption__c,</v>
      </c>
      <c r="I80" t="str">
        <f t="shared" si="9"/>
        <v>'Cassava_self_consumption__c': cds_record.get('Cassava_self_consumption__c'),</v>
      </c>
    </row>
    <row r="81" spans="1:9" x14ac:dyDescent="0.4">
      <c r="A81" t="s">
        <v>90</v>
      </c>
      <c r="B81" t="str">
        <f t="shared" si="5"/>
        <v>Beans_self_consumption__c,</v>
      </c>
      <c r="C81" t="s">
        <v>6</v>
      </c>
      <c r="D81" t="b">
        <v>1</v>
      </c>
      <c r="E81" t="s">
        <v>215</v>
      </c>
      <c r="F81" t="str">
        <f t="shared" si="6"/>
        <v>Beans_self_consumption__c TEXT,</v>
      </c>
      <c r="G81" t="str">
        <f t="shared" si="7"/>
        <v>%(Beans_self_consumption__c)s,</v>
      </c>
      <c r="H81" t="str">
        <f t="shared" si="8"/>
        <v>Beans_self_consumption__c = Excluded.Beans_self_consumption__c,</v>
      </c>
      <c r="I81" t="str">
        <f t="shared" si="9"/>
        <v>'Beans_self_consumption__c': cds_record.get('Beans_self_consumption__c'),</v>
      </c>
    </row>
    <row r="82" spans="1:9" x14ac:dyDescent="0.4">
      <c r="A82" t="s">
        <v>91</v>
      </c>
      <c r="B82" t="str">
        <f t="shared" si="5"/>
        <v>Sunflower_self_consumption__c,</v>
      </c>
      <c r="C82" t="s">
        <v>6</v>
      </c>
      <c r="D82" t="b">
        <v>1</v>
      </c>
      <c r="E82" t="s">
        <v>215</v>
      </c>
      <c r="F82" t="str">
        <f t="shared" si="6"/>
        <v>Sunflower_self_consumption__c TEXT,</v>
      </c>
      <c r="G82" t="str">
        <f t="shared" si="7"/>
        <v>%(Sunflower_self_consumption__c)s,</v>
      </c>
      <c r="H82" t="str">
        <f t="shared" si="8"/>
        <v>Sunflower_self_consumption__c = Excluded.Sunflower_self_consumption__c,</v>
      </c>
      <c r="I82" t="str">
        <f t="shared" si="9"/>
        <v>'Sunflower_self_consumption__c': cds_record.get('Sunflower_self_consumption__c'),</v>
      </c>
    </row>
    <row r="83" spans="1:9" x14ac:dyDescent="0.4">
      <c r="A83" t="s">
        <v>92</v>
      </c>
      <c r="B83" t="str">
        <f t="shared" si="5"/>
        <v>Groundnuts_self_consumption__c,</v>
      </c>
      <c r="C83" t="s">
        <v>6</v>
      </c>
      <c r="D83" t="b">
        <v>1</v>
      </c>
      <c r="E83" t="s">
        <v>215</v>
      </c>
      <c r="F83" t="str">
        <f t="shared" si="6"/>
        <v>Groundnuts_self_consumption__c TEXT,</v>
      </c>
      <c r="G83" t="str">
        <f t="shared" si="7"/>
        <v>%(Groundnuts_self_consumption__c)s,</v>
      </c>
      <c r="H83" t="str">
        <f t="shared" si="8"/>
        <v>Groundnuts_self_consumption__c = Excluded.Groundnuts_self_consumption__c,</v>
      </c>
      <c r="I83" t="str">
        <f t="shared" si="9"/>
        <v>'Groundnuts_self_consumption__c': cds_record.get('Groundnuts_self_consumption__c'),</v>
      </c>
    </row>
    <row r="84" spans="1:9" x14ac:dyDescent="0.4">
      <c r="A84" t="s">
        <v>93</v>
      </c>
      <c r="B84" t="str">
        <f t="shared" si="5"/>
        <v>Other_staple_field_crop_self_consumption__c,</v>
      </c>
      <c r="C84" t="s">
        <v>6</v>
      </c>
      <c r="D84" t="b">
        <v>1</v>
      </c>
      <c r="E84" t="s">
        <v>215</v>
      </c>
      <c r="F84" t="str">
        <f t="shared" si="6"/>
        <v>Other_staple_field_crop_self_consumption__c TEXT,</v>
      </c>
      <c r="G84" t="str">
        <f t="shared" si="7"/>
        <v>%(Other_staple_field_crop_self_consumption__c)s,</v>
      </c>
      <c r="H84" t="str">
        <f t="shared" si="8"/>
        <v>Other_staple_field_crop_self_consumption__c = Excluded.Other_staple_field_crop_self_consumption__c,</v>
      </c>
      <c r="I84" t="str">
        <f t="shared" si="9"/>
        <v>'Other_staple_field_crop_self_consumption__c': cds_record.get('Other_staple_field_crop_self_consumption__c'),</v>
      </c>
    </row>
    <row r="85" spans="1:9" x14ac:dyDescent="0.4">
      <c r="A85" t="s">
        <v>94</v>
      </c>
      <c r="B85" t="str">
        <f t="shared" si="5"/>
        <v>Tomatoes_sale__c,</v>
      </c>
      <c r="C85" t="s">
        <v>6</v>
      </c>
      <c r="D85" t="b">
        <v>1</v>
      </c>
      <c r="E85" t="s">
        <v>215</v>
      </c>
      <c r="F85" t="str">
        <f t="shared" si="6"/>
        <v>Tomatoes_sale__c TEXT,</v>
      </c>
      <c r="G85" t="str">
        <f t="shared" si="7"/>
        <v>%(Tomatoes_sale__c)s,</v>
      </c>
      <c r="H85" t="str">
        <f t="shared" si="8"/>
        <v>Tomatoes_sale__c = Excluded.Tomatoes_sale__c,</v>
      </c>
      <c r="I85" t="str">
        <f t="shared" si="9"/>
        <v>'Tomatoes_sale__c': cds_record.get('Tomatoes_sale__c'),</v>
      </c>
    </row>
    <row r="86" spans="1:9" x14ac:dyDescent="0.4">
      <c r="A86" t="s">
        <v>95</v>
      </c>
      <c r="B86" t="str">
        <f t="shared" si="5"/>
        <v>Cabbage_sale__c,</v>
      </c>
      <c r="C86" t="s">
        <v>6</v>
      </c>
      <c r="D86" t="b">
        <v>1</v>
      </c>
      <c r="E86" t="s">
        <v>215</v>
      </c>
      <c r="F86" t="str">
        <f t="shared" si="6"/>
        <v>Cabbage_sale__c TEXT,</v>
      </c>
      <c r="G86" t="str">
        <f t="shared" si="7"/>
        <v>%(Cabbage_sale__c)s,</v>
      </c>
      <c r="H86" t="str">
        <f t="shared" si="8"/>
        <v>Cabbage_sale__c = Excluded.Cabbage_sale__c,</v>
      </c>
      <c r="I86" t="str">
        <f t="shared" si="9"/>
        <v>'Cabbage_sale__c': cds_record.get('Cabbage_sale__c'),</v>
      </c>
    </row>
    <row r="87" spans="1:9" x14ac:dyDescent="0.4">
      <c r="A87" t="s">
        <v>96</v>
      </c>
      <c r="B87" t="str">
        <f t="shared" si="5"/>
        <v>Spinach_sale__c,</v>
      </c>
      <c r="C87" t="s">
        <v>6</v>
      </c>
      <c r="D87" t="b">
        <v>1</v>
      </c>
      <c r="E87" t="s">
        <v>215</v>
      </c>
      <c r="F87" t="str">
        <f t="shared" si="6"/>
        <v>Spinach_sale__c TEXT,</v>
      </c>
      <c r="G87" t="str">
        <f t="shared" si="7"/>
        <v>%(Spinach_sale__c)s,</v>
      </c>
      <c r="H87" t="str">
        <f t="shared" si="8"/>
        <v>Spinach_sale__c = Excluded.Spinach_sale__c,</v>
      </c>
      <c r="I87" t="str">
        <f t="shared" si="9"/>
        <v>'Spinach_sale__c': cds_record.get('Spinach_sale__c'),</v>
      </c>
    </row>
    <row r="88" spans="1:9" x14ac:dyDescent="0.4">
      <c r="A88" t="s">
        <v>97</v>
      </c>
      <c r="B88" t="str">
        <f t="shared" si="5"/>
        <v>Onion_sale__c,</v>
      </c>
      <c r="C88" t="s">
        <v>6</v>
      </c>
      <c r="D88" t="b">
        <v>1</v>
      </c>
      <c r="E88" t="s">
        <v>215</v>
      </c>
      <c r="F88" t="str">
        <f t="shared" si="6"/>
        <v>Onion_sale__c TEXT,</v>
      </c>
      <c r="G88" t="str">
        <f t="shared" si="7"/>
        <v>%(Onion_sale__c)s,</v>
      </c>
      <c r="H88" t="str">
        <f t="shared" si="8"/>
        <v>Onion_sale__c = Excluded.Onion_sale__c,</v>
      </c>
      <c r="I88" t="str">
        <f t="shared" si="9"/>
        <v>'Onion_sale__c': cds_record.get('Onion_sale__c'),</v>
      </c>
    </row>
    <row r="89" spans="1:9" x14ac:dyDescent="0.4">
      <c r="A89" t="s">
        <v>98</v>
      </c>
      <c r="B89" t="str">
        <f t="shared" si="5"/>
        <v>Green_beans_sale__c,</v>
      </c>
      <c r="C89" t="s">
        <v>6</v>
      </c>
      <c r="D89" t="b">
        <v>1</v>
      </c>
      <c r="E89" t="s">
        <v>215</v>
      </c>
      <c r="F89" t="str">
        <f t="shared" si="6"/>
        <v>Green_beans_sale__c TEXT,</v>
      </c>
      <c r="G89" t="str">
        <f t="shared" si="7"/>
        <v>%(Green_beans_sale__c)s,</v>
      </c>
      <c r="H89" t="str">
        <f t="shared" si="8"/>
        <v>Green_beans_sale__c = Excluded.Green_beans_sale__c,</v>
      </c>
      <c r="I89" t="str">
        <f t="shared" si="9"/>
        <v>'Green_beans_sale__c': cds_record.get('Green_beans_sale__c'),</v>
      </c>
    </row>
    <row r="90" spans="1:9" x14ac:dyDescent="0.4">
      <c r="A90" t="s">
        <v>99</v>
      </c>
      <c r="B90" t="str">
        <f t="shared" si="5"/>
        <v>Other_fruits_and_vegetable_sale__c,</v>
      </c>
      <c r="C90" t="s">
        <v>6</v>
      </c>
      <c r="D90" t="b">
        <v>1</v>
      </c>
      <c r="E90" t="s">
        <v>215</v>
      </c>
      <c r="F90" t="str">
        <f t="shared" si="6"/>
        <v>Other_fruits_and_vegetable_sale__c TEXT,</v>
      </c>
      <c r="G90" t="str">
        <f t="shared" si="7"/>
        <v>%(Other_fruits_and_vegetable_sale__c)s,</v>
      </c>
      <c r="H90" t="str">
        <f t="shared" si="8"/>
        <v>Other_fruits_and_vegetable_sale__c = Excluded.Other_fruits_and_vegetable_sale__c,</v>
      </c>
      <c r="I90" t="str">
        <f t="shared" si="9"/>
        <v>'Other_fruits_and_vegetable_sale__c': cds_record.get('Other_fruits_and_vegetable_sale__c'),</v>
      </c>
    </row>
    <row r="91" spans="1:9" x14ac:dyDescent="0.4">
      <c r="A91" t="s">
        <v>100</v>
      </c>
      <c r="B91" t="str">
        <f t="shared" si="5"/>
        <v>Tomatoes_self_consumption__c,</v>
      </c>
      <c r="C91" t="s">
        <v>6</v>
      </c>
      <c r="D91" t="b">
        <v>1</v>
      </c>
      <c r="E91" t="s">
        <v>215</v>
      </c>
      <c r="F91" t="str">
        <f t="shared" si="6"/>
        <v>Tomatoes_self_consumption__c TEXT,</v>
      </c>
      <c r="G91" t="str">
        <f t="shared" si="7"/>
        <v>%(Tomatoes_self_consumption__c)s,</v>
      </c>
      <c r="H91" t="str">
        <f t="shared" si="8"/>
        <v>Tomatoes_self_consumption__c = Excluded.Tomatoes_self_consumption__c,</v>
      </c>
      <c r="I91" t="str">
        <f t="shared" si="9"/>
        <v>'Tomatoes_self_consumption__c': cds_record.get('Tomatoes_self_consumption__c'),</v>
      </c>
    </row>
    <row r="92" spans="1:9" x14ac:dyDescent="0.4">
      <c r="A92" t="s">
        <v>101</v>
      </c>
      <c r="B92" t="str">
        <f t="shared" si="5"/>
        <v>Cabbage_self_consumption__c,</v>
      </c>
      <c r="C92" t="s">
        <v>6</v>
      </c>
      <c r="D92" t="b">
        <v>1</v>
      </c>
      <c r="E92" t="s">
        <v>215</v>
      </c>
      <c r="F92" t="str">
        <f t="shared" si="6"/>
        <v>Cabbage_self_consumption__c TEXT,</v>
      </c>
      <c r="G92" t="str">
        <f t="shared" si="7"/>
        <v>%(Cabbage_self_consumption__c)s,</v>
      </c>
      <c r="H92" t="str">
        <f t="shared" si="8"/>
        <v>Cabbage_self_consumption__c = Excluded.Cabbage_self_consumption__c,</v>
      </c>
      <c r="I92" t="str">
        <f t="shared" si="9"/>
        <v>'Cabbage_self_consumption__c': cds_record.get('Cabbage_self_consumption__c'),</v>
      </c>
    </row>
    <row r="93" spans="1:9" x14ac:dyDescent="0.4">
      <c r="A93" t="s">
        <v>102</v>
      </c>
      <c r="B93" t="str">
        <f t="shared" si="5"/>
        <v>Spinach_self_consumption__c,</v>
      </c>
      <c r="C93" t="s">
        <v>6</v>
      </c>
      <c r="D93" t="b">
        <v>1</v>
      </c>
      <c r="E93" t="s">
        <v>215</v>
      </c>
      <c r="F93" t="str">
        <f t="shared" si="6"/>
        <v>Spinach_self_consumption__c TEXT,</v>
      </c>
      <c r="G93" t="str">
        <f t="shared" si="7"/>
        <v>%(Spinach_self_consumption__c)s,</v>
      </c>
      <c r="H93" t="str">
        <f t="shared" si="8"/>
        <v>Spinach_self_consumption__c = Excluded.Spinach_self_consumption__c,</v>
      </c>
      <c r="I93" t="str">
        <f t="shared" si="9"/>
        <v>'Spinach_self_consumption__c': cds_record.get('Spinach_self_consumption__c'),</v>
      </c>
    </row>
    <row r="94" spans="1:9" x14ac:dyDescent="0.4">
      <c r="A94" t="s">
        <v>103</v>
      </c>
      <c r="B94" t="str">
        <f t="shared" si="5"/>
        <v>Onion_self_consumption__c,</v>
      </c>
      <c r="C94" t="s">
        <v>6</v>
      </c>
      <c r="D94" t="b">
        <v>1</v>
      </c>
      <c r="E94" t="s">
        <v>215</v>
      </c>
      <c r="F94" t="str">
        <f t="shared" si="6"/>
        <v>Onion_self_consumption__c TEXT,</v>
      </c>
      <c r="G94" t="str">
        <f t="shared" si="7"/>
        <v>%(Onion_self_consumption__c)s,</v>
      </c>
      <c r="H94" t="str">
        <f t="shared" si="8"/>
        <v>Onion_self_consumption__c = Excluded.Onion_self_consumption__c,</v>
      </c>
      <c r="I94" t="str">
        <f t="shared" si="9"/>
        <v>'Onion_self_consumption__c': cds_record.get('Onion_self_consumption__c'),</v>
      </c>
    </row>
    <row r="95" spans="1:9" x14ac:dyDescent="0.4">
      <c r="A95" t="s">
        <v>104</v>
      </c>
      <c r="B95" t="str">
        <f t="shared" si="5"/>
        <v>Green_Beans_self_consumption__c,</v>
      </c>
      <c r="C95" t="s">
        <v>6</v>
      </c>
      <c r="D95" t="b">
        <v>1</v>
      </c>
      <c r="E95" t="s">
        <v>215</v>
      </c>
      <c r="F95" t="str">
        <f t="shared" si="6"/>
        <v>Green_Beans_self_consumption__c TEXT,</v>
      </c>
      <c r="G95" t="str">
        <f t="shared" si="7"/>
        <v>%(Green_Beans_self_consumption__c)s,</v>
      </c>
      <c r="H95" t="str">
        <f t="shared" si="8"/>
        <v>Green_Beans_self_consumption__c = Excluded.Green_Beans_self_consumption__c,</v>
      </c>
      <c r="I95" t="str">
        <f t="shared" si="9"/>
        <v>'Green_Beans_self_consumption__c': cds_record.get('Green_Beans_self_consumption__c'),</v>
      </c>
    </row>
    <row r="96" spans="1:9" x14ac:dyDescent="0.4">
      <c r="A96" t="s">
        <v>105</v>
      </c>
      <c r="B96" t="str">
        <f t="shared" si="5"/>
        <v>Other_fruit_vegetable_self_consumption__c,</v>
      </c>
      <c r="C96" t="s">
        <v>6</v>
      </c>
      <c r="D96" t="b">
        <v>1</v>
      </c>
      <c r="E96" t="s">
        <v>215</v>
      </c>
      <c r="F96" t="str">
        <f t="shared" si="6"/>
        <v>Other_fruit_vegetable_self_consumption__c TEXT,</v>
      </c>
      <c r="G96" t="str">
        <f t="shared" si="7"/>
        <v>%(Other_fruit_vegetable_self_consumption__c)s,</v>
      </c>
      <c r="H96" t="str">
        <f t="shared" si="8"/>
        <v>Other_fruit_vegetable_self_consumption__c = Excluded.Other_fruit_vegetable_self_consumption__c,</v>
      </c>
      <c r="I96" t="str">
        <f t="shared" si="9"/>
        <v>'Other_fruit_vegetable_self_consumption__c': cds_record.get('Other_fruit_vegetable_self_consumption__c'),</v>
      </c>
    </row>
    <row r="97" spans="1:9" x14ac:dyDescent="0.4">
      <c r="A97" t="s">
        <v>106</v>
      </c>
      <c r="B97" t="str">
        <f t="shared" si="5"/>
        <v>Harvest_Cycle_Per_Year__c,</v>
      </c>
      <c r="C97" t="s">
        <v>27</v>
      </c>
      <c r="D97" t="b">
        <v>1</v>
      </c>
      <c r="E97" t="s">
        <v>215</v>
      </c>
      <c r="F97" t="str">
        <f t="shared" si="6"/>
        <v>Harvest_Cycle_Per_Year__c TEXT,</v>
      </c>
      <c r="G97" t="str">
        <f t="shared" si="7"/>
        <v>%(Harvest_Cycle_Per_Year__c)s,</v>
      </c>
      <c r="H97" t="str">
        <f t="shared" si="8"/>
        <v>Harvest_Cycle_Per_Year__c = Excluded.Harvest_Cycle_Per_Year__c,</v>
      </c>
      <c r="I97" t="str">
        <f t="shared" si="9"/>
        <v>'Harvest_Cycle_Per_Year__c': cds_record.get('Harvest_Cycle_Per_Year__c'),</v>
      </c>
    </row>
    <row r="98" spans="1:9" x14ac:dyDescent="0.4">
      <c r="A98" t="s">
        <v>107</v>
      </c>
      <c r="B98" t="str">
        <f t="shared" si="5"/>
        <v>Same_number_as_provided_in_CDS1__c,</v>
      </c>
      <c r="C98" t="s">
        <v>27</v>
      </c>
      <c r="D98" t="b">
        <v>1</v>
      </c>
      <c r="E98" t="s">
        <v>215</v>
      </c>
      <c r="F98" t="str">
        <f t="shared" si="6"/>
        <v>Same_number_as_provided_in_CDS1__c TEXT,</v>
      </c>
      <c r="G98" t="str">
        <f t="shared" si="7"/>
        <v>%(Same_number_as_provided_in_CDS1__c)s,</v>
      </c>
      <c r="H98" t="str">
        <f t="shared" si="8"/>
        <v>Same_number_as_provided_in_CDS1__c = Excluded.Same_number_as_provided_in_CDS1__c,</v>
      </c>
      <c r="I98" t="str">
        <f t="shared" si="9"/>
        <v>'Same_number_as_provided_in_CDS1__c': cds_record.get('Same_number_as_provided_in_CDS1__c'),</v>
      </c>
    </row>
    <row r="99" spans="1:9" x14ac:dyDescent="0.4">
      <c r="A99" t="s">
        <v>108</v>
      </c>
      <c r="B99" t="str">
        <f t="shared" si="5"/>
        <v>Recall_the_call__c,</v>
      </c>
      <c r="C99" t="s">
        <v>27</v>
      </c>
      <c r="D99" t="b">
        <v>1</v>
      </c>
      <c r="E99" t="s">
        <v>215</v>
      </c>
      <c r="F99" t="str">
        <f t="shared" si="6"/>
        <v>Recall_the_call__c TEXT,</v>
      </c>
      <c r="G99" t="str">
        <f t="shared" si="7"/>
        <v>%(Recall_the_call__c)s,</v>
      </c>
      <c r="H99" t="str">
        <f t="shared" si="8"/>
        <v>Recall_the_call__c = Excluded.Recall_the_call__c,</v>
      </c>
      <c r="I99" t="str">
        <f t="shared" si="9"/>
        <v>'Recall_the_call__c': cds_record.get('Recall_the_call__c'),</v>
      </c>
    </row>
    <row r="100" spans="1:9" x14ac:dyDescent="0.4">
      <c r="A100" t="s">
        <v>109</v>
      </c>
      <c r="B100" t="str">
        <f t="shared" si="5"/>
        <v>Farm_acreage__c,</v>
      </c>
      <c r="C100" t="s">
        <v>27</v>
      </c>
      <c r="D100" t="b">
        <v>1</v>
      </c>
      <c r="E100" t="s">
        <v>215</v>
      </c>
      <c r="F100" t="str">
        <f t="shared" si="6"/>
        <v>Farm_acreage__c TEXT,</v>
      </c>
      <c r="G100" t="str">
        <f t="shared" si="7"/>
        <v>%(Farm_acreage__c)s,</v>
      </c>
      <c r="H100" t="str">
        <f t="shared" si="8"/>
        <v>Farm_acreage__c = Excluded.Farm_acreage__c,</v>
      </c>
      <c r="I100" t="str">
        <f t="shared" si="9"/>
        <v>'Farm_acreage__c': cds_record.get('Farm_acreage__c'),</v>
      </c>
    </row>
    <row r="101" spans="1:9" x14ac:dyDescent="0.4">
      <c r="A101" t="s">
        <v>110</v>
      </c>
      <c r="B101" t="str">
        <f t="shared" si="5"/>
        <v>Main_Purpose_of_acquiring_the_pump__c,</v>
      </c>
      <c r="C101" t="s">
        <v>27</v>
      </c>
      <c r="D101" t="b">
        <v>1</v>
      </c>
      <c r="E101" t="s">
        <v>215</v>
      </c>
      <c r="F101" t="str">
        <f t="shared" si="6"/>
        <v>Main_Purpose_of_acquiring_the_pump__c TEXT,</v>
      </c>
      <c r="G101" t="str">
        <f t="shared" si="7"/>
        <v>%(Main_Purpose_of_acquiring_the_pump__c)s,</v>
      </c>
      <c r="H101" t="str">
        <f t="shared" si="8"/>
        <v>Main_Purpose_of_acquiring_the_pump__c = Excluded.Main_Purpose_of_acquiring_the_pump__c,</v>
      </c>
      <c r="I101" t="str">
        <f t="shared" si="9"/>
        <v>'Main_Purpose_of_acquiring_the_pump__c': cds_record.get('Main_Purpose_of_acquiring_the_pump__c'),</v>
      </c>
    </row>
    <row r="102" spans="1:9" x14ac:dyDescent="0.4">
      <c r="A102" t="s">
        <v>111</v>
      </c>
      <c r="B102" t="str">
        <f t="shared" si="5"/>
        <v>How_did_you_hear_about_SunCulture_pumps__c,</v>
      </c>
      <c r="C102" t="s">
        <v>27</v>
      </c>
      <c r="D102" t="b">
        <v>1</v>
      </c>
      <c r="E102" t="s">
        <v>215</v>
      </c>
      <c r="F102" t="str">
        <f t="shared" si="6"/>
        <v>How_did_you_hear_about_SunCulture_pumps__c TEXT,</v>
      </c>
      <c r="G102" t="str">
        <f t="shared" si="7"/>
        <v>%(How_did_you_hear_about_SunCulture_pumps__c)s,</v>
      </c>
      <c r="H102" t="str">
        <f t="shared" si="8"/>
        <v>How_did_you_hear_about_SunCulture_pumps__c = Excluded.How_did_you_hear_about_SunCulture_pumps__c,</v>
      </c>
      <c r="I102" t="str">
        <f t="shared" si="9"/>
        <v>'How_did_you_hear_about_SunCulture_pumps__c': cds_record.get('How_did_you_hear_about_SunCulture_pumps__c'),</v>
      </c>
    </row>
    <row r="103" spans="1:9" x14ac:dyDescent="0.4">
      <c r="A103" t="s">
        <v>112</v>
      </c>
      <c r="B103" t="str">
        <f t="shared" si="5"/>
        <v>Other_sources_of_water__c,</v>
      </c>
      <c r="C103" t="s">
        <v>27</v>
      </c>
      <c r="D103" t="b">
        <v>1</v>
      </c>
      <c r="E103" t="s">
        <v>215</v>
      </c>
      <c r="F103" t="str">
        <f t="shared" si="6"/>
        <v>Other_sources_of_water__c TEXT,</v>
      </c>
      <c r="G103" t="str">
        <f t="shared" si="7"/>
        <v>%(Other_sources_of_water__c)s,</v>
      </c>
      <c r="H103" t="str">
        <f t="shared" si="8"/>
        <v>Other_sources_of_water__c = Excluded.Other_sources_of_water__c,</v>
      </c>
      <c r="I103" t="str">
        <f t="shared" si="9"/>
        <v>'Other_sources_of_water__c': cds_record.get('Other_sources_of_water__c'),</v>
      </c>
    </row>
    <row r="104" spans="1:9" x14ac:dyDescent="0.4">
      <c r="A104" t="s">
        <v>113</v>
      </c>
      <c r="B104" t="str">
        <f t="shared" si="5"/>
        <v>Hours_spent_fetching_water_every_week__c,</v>
      </c>
      <c r="C104" t="s">
        <v>20</v>
      </c>
      <c r="D104" t="b">
        <v>1</v>
      </c>
      <c r="E104" t="s">
        <v>216</v>
      </c>
      <c r="F104" t="str">
        <f t="shared" si="6"/>
        <v>Hours_spent_fetching_water_every_week__c DOUBLE PRECISION,</v>
      </c>
      <c r="G104" t="str">
        <f t="shared" si="7"/>
        <v>%(Hours_spent_fetching_water_every_week__c)s,</v>
      </c>
      <c r="H104" t="str">
        <f t="shared" si="8"/>
        <v>Hours_spent_fetching_water_every_week__c = Excluded.Hours_spent_fetching_water_every_week__c,</v>
      </c>
      <c r="I104" t="str">
        <f t="shared" si="9"/>
        <v>'Hours_spent_fetching_water_every_week__c': cds_record.get('Hours_spent_fetching_water_every_week__c'),</v>
      </c>
    </row>
    <row r="105" spans="1:9" x14ac:dyDescent="0.4">
      <c r="A105" t="s">
        <v>114</v>
      </c>
      <c r="B105" t="str">
        <f t="shared" si="5"/>
        <v>Amount_paid_for_getting_water_each_week__c,</v>
      </c>
      <c r="C105" t="s">
        <v>42</v>
      </c>
      <c r="D105" t="b">
        <v>1</v>
      </c>
      <c r="E105" t="s">
        <v>216</v>
      </c>
      <c r="F105" t="str">
        <f t="shared" si="6"/>
        <v>Amount_paid_for_getting_water_each_week__c DOUBLE PRECISION,</v>
      </c>
      <c r="G105" t="str">
        <f t="shared" si="7"/>
        <v>%(Amount_paid_for_getting_water_each_week__c)s,</v>
      </c>
      <c r="H105" t="str">
        <f t="shared" si="8"/>
        <v>Amount_paid_for_getting_water_each_week__c = Excluded.Amount_paid_for_getting_water_each_week__c,</v>
      </c>
      <c r="I105" t="str">
        <f t="shared" si="9"/>
        <v>'Amount_paid_for_getting_water_each_week__c': cds_record.get('Amount_paid_for_getting_water_each_week__c'),</v>
      </c>
    </row>
    <row r="106" spans="1:9" x14ac:dyDescent="0.4">
      <c r="A106" t="s">
        <v>115</v>
      </c>
      <c r="B106" t="str">
        <f t="shared" si="5"/>
        <v>Amount_paid_for_water_other_pump_usage__c,</v>
      </c>
      <c r="C106" t="s">
        <v>42</v>
      </c>
      <c r="D106" t="b">
        <v>1</v>
      </c>
      <c r="E106" t="s">
        <v>216</v>
      </c>
      <c r="F106" t="str">
        <f t="shared" si="6"/>
        <v>Amount_paid_for_water_other_pump_usage__c DOUBLE PRECISION,</v>
      </c>
      <c r="G106" t="str">
        <f t="shared" si="7"/>
        <v>%(Amount_paid_for_water_other_pump_usage__c)s,</v>
      </c>
      <c r="H106" t="str">
        <f t="shared" si="8"/>
        <v>Amount_paid_for_water_other_pump_usage__c = Excluded.Amount_paid_for_water_other_pump_usage__c,</v>
      </c>
      <c r="I106" t="str">
        <f t="shared" si="9"/>
        <v>'Amount_paid_for_water_other_pump_usage__c': cds_record.get('Amount_paid_for_water_other_pump_usage__c'),</v>
      </c>
    </row>
    <row r="107" spans="1:9" x14ac:dyDescent="0.4">
      <c r="A107" t="s">
        <v>116</v>
      </c>
      <c r="B107" t="str">
        <f t="shared" si="5"/>
        <v>Customer_Data_Survey_Number__c,</v>
      </c>
      <c r="C107" t="s">
        <v>8</v>
      </c>
      <c r="D107" t="b">
        <v>1</v>
      </c>
      <c r="E107" t="s">
        <v>215</v>
      </c>
      <c r="F107" t="str">
        <f t="shared" si="6"/>
        <v>Customer_Data_Survey_Number__c TEXT,</v>
      </c>
      <c r="G107" t="str">
        <f t="shared" si="7"/>
        <v>%(Customer_Data_Survey_Number__c)s,</v>
      </c>
      <c r="H107" t="str">
        <f t="shared" si="8"/>
        <v>Customer_Data_Survey_Number__c = Excluded.Customer_Data_Survey_Number__c,</v>
      </c>
      <c r="I107" t="str">
        <f t="shared" si="9"/>
        <v>'Customer_Data_Survey_Number__c': cds_record.get('Customer_Data_Survey_Number__c'),</v>
      </c>
    </row>
    <row r="108" spans="1:9" x14ac:dyDescent="0.4">
      <c r="A108" t="s">
        <v>117</v>
      </c>
      <c r="B108" t="str">
        <f t="shared" si="5"/>
        <v>Quantity_of_water_usage_per_week__c,</v>
      </c>
      <c r="C108" t="s">
        <v>20</v>
      </c>
      <c r="D108" t="b">
        <v>1</v>
      </c>
      <c r="E108" t="s">
        <v>216</v>
      </c>
      <c r="F108" t="str">
        <f t="shared" si="6"/>
        <v>Quantity_of_water_usage_per_week__c DOUBLE PRECISION,</v>
      </c>
      <c r="G108" t="str">
        <f t="shared" si="7"/>
        <v>%(Quantity_of_water_usage_per_week__c)s,</v>
      </c>
      <c r="H108" t="str">
        <f t="shared" si="8"/>
        <v>Quantity_of_water_usage_per_week__c = Excluded.Quantity_of_water_usage_per_week__c,</v>
      </c>
      <c r="I108" t="str">
        <f t="shared" si="9"/>
        <v>'Quantity_of_water_usage_per_week__c': cds_record.get('Quantity_of_water_usage_per_week__c'),</v>
      </c>
    </row>
    <row r="109" spans="1:9" x14ac:dyDescent="0.4">
      <c r="A109" t="s">
        <v>118</v>
      </c>
      <c r="B109" t="str">
        <f t="shared" si="5"/>
        <v>Water_tank_capacity__c,</v>
      </c>
      <c r="C109" t="s">
        <v>27</v>
      </c>
      <c r="D109" t="b">
        <v>1</v>
      </c>
      <c r="E109" t="s">
        <v>215</v>
      </c>
      <c r="F109" t="str">
        <f t="shared" si="6"/>
        <v>Water_tank_capacity__c TEXT,</v>
      </c>
      <c r="G109" t="str">
        <f t="shared" si="7"/>
        <v>%(Water_tank_capacity__c)s,</v>
      </c>
      <c r="H109" t="str">
        <f t="shared" si="8"/>
        <v>Water_tank_capacity__c = Excluded.Water_tank_capacity__c,</v>
      </c>
      <c r="I109" t="str">
        <f t="shared" si="9"/>
        <v>'Water_tank_capacity__c': cds_record.get('Water_tank_capacity__c'),</v>
      </c>
    </row>
    <row r="110" spans="1:9" x14ac:dyDescent="0.4">
      <c r="A110" t="s">
        <v>119</v>
      </c>
      <c r="B110" t="str">
        <f t="shared" si="5"/>
        <v>Electricity_connectivity__c,</v>
      </c>
      <c r="C110" t="s">
        <v>27</v>
      </c>
      <c r="D110" t="b">
        <v>1</v>
      </c>
      <c r="E110" t="s">
        <v>215</v>
      </c>
      <c r="F110" t="str">
        <f t="shared" si="6"/>
        <v>Electricity_connectivity__c TEXT,</v>
      </c>
      <c r="G110" t="str">
        <f t="shared" si="7"/>
        <v>%(Electricity_connectivity__c)s,</v>
      </c>
      <c r="H110" t="str">
        <f t="shared" si="8"/>
        <v>Electricity_connectivity__c = Excluded.Electricity_connectivity__c,</v>
      </c>
      <c r="I110" t="str">
        <f t="shared" si="9"/>
        <v>'Electricity_connectivity__c': cds_record.get('Electricity_connectivity__c'),</v>
      </c>
    </row>
    <row r="111" spans="1:9" x14ac:dyDescent="0.4">
      <c r="A111" t="s">
        <v>120</v>
      </c>
      <c r="B111" t="str">
        <f t="shared" si="5"/>
        <v>Number_of_financial_dependants__c,</v>
      </c>
      <c r="C111" t="s">
        <v>20</v>
      </c>
      <c r="D111" t="b">
        <v>1</v>
      </c>
      <c r="E111" t="s">
        <v>216</v>
      </c>
      <c r="F111" t="str">
        <f t="shared" si="6"/>
        <v>Number_of_financial_dependants__c DOUBLE PRECISION,</v>
      </c>
      <c r="G111" t="str">
        <f t="shared" si="7"/>
        <v>%(Number_of_financial_dependants__c)s,</v>
      </c>
      <c r="H111" t="str">
        <f t="shared" si="8"/>
        <v>Number_of_financial_dependants__c = Excluded.Number_of_financial_dependants__c,</v>
      </c>
      <c r="I111" t="str">
        <f t="shared" si="9"/>
        <v>'Number_of_financial_dependants__c': cds_record.get('Number_of_financial_dependants__c'),</v>
      </c>
    </row>
    <row r="112" spans="1:9" x14ac:dyDescent="0.4">
      <c r="A112" t="s">
        <v>121</v>
      </c>
      <c r="B112" t="str">
        <f t="shared" si="5"/>
        <v>Number_of_working_age_adults_in_the_HH__c,</v>
      </c>
      <c r="C112" t="s">
        <v>20</v>
      </c>
      <c r="D112" t="b">
        <v>1</v>
      </c>
      <c r="E112" t="s">
        <v>216</v>
      </c>
      <c r="F112" t="str">
        <f t="shared" si="6"/>
        <v>Number_of_working_age_adults_in_the_HH__c DOUBLE PRECISION,</v>
      </c>
      <c r="G112" t="str">
        <f t="shared" si="7"/>
        <v>%(Number_of_working_age_adults_in_the_HH__c)s,</v>
      </c>
      <c r="H112" t="str">
        <f t="shared" si="8"/>
        <v>Number_of_working_age_adults_in_the_HH__c = Excluded.Number_of_working_age_adults_in_the_HH__c,</v>
      </c>
      <c r="I112" t="str">
        <f t="shared" si="9"/>
        <v>'Number_of_working_age_adults_in_the_HH__c': cds_record.get('Number_of_working_age_adults_in_the_HH__c'),</v>
      </c>
    </row>
    <row r="113" spans="1:9" x14ac:dyDescent="0.4">
      <c r="A113" t="s">
        <v>122</v>
      </c>
      <c r="B113" t="str">
        <f t="shared" si="5"/>
        <v>Number_of_pensioners_living_in_the_HH__c,</v>
      </c>
      <c r="C113" t="s">
        <v>20</v>
      </c>
      <c r="D113" t="b">
        <v>1</v>
      </c>
      <c r="E113" t="s">
        <v>216</v>
      </c>
      <c r="F113" t="str">
        <f t="shared" si="6"/>
        <v>Number_of_pensioners_living_in_the_HH__c DOUBLE PRECISION,</v>
      </c>
      <c r="G113" t="str">
        <f t="shared" si="7"/>
        <v>%(Number_of_pensioners_living_in_the_HH__c)s,</v>
      </c>
      <c r="H113" t="str">
        <f t="shared" si="8"/>
        <v>Number_of_pensioners_living_in_the_HH__c = Excluded.Number_of_pensioners_living_in_the_HH__c,</v>
      </c>
      <c r="I113" t="str">
        <f t="shared" si="9"/>
        <v>'Number_of_pensioners_living_in_the_HH__c': cds_record.get('Number_of_pensioners_living_in_the_HH__c'),</v>
      </c>
    </row>
    <row r="114" spans="1:9" x14ac:dyDescent="0.4">
      <c r="A114" t="s">
        <v>123</v>
      </c>
      <c r="B114" t="str">
        <f t="shared" si="5"/>
        <v>No_of_family_members_friends_helping__c,</v>
      </c>
      <c r="C114" t="s">
        <v>20</v>
      </c>
      <c r="D114" t="b">
        <v>1</v>
      </c>
      <c r="E114" t="s">
        <v>216</v>
      </c>
      <c r="F114" t="str">
        <f t="shared" si="6"/>
        <v>No_of_family_members_friends_helping__c DOUBLE PRECISION,</v>
      </c>
      <c r="G114" t="str">
        <f t="shared" si="7"/>
        <v>%(No_of_family_members_friends_helping__c)s,</v>
      </c>
      <c r="H114" t="str">
        <f t="shared" si="8"/>
        <v>No_of_family_members_friends_helping__c = Excluded.No_of_family_members_friends_helping__c,</v>
      </c>
      <c r="I114" t="str">
        <f t="shared" si="9"/>
        <v>'No_of_family_members_friends_helping__c': cds_record.get('No_of_family_members_friends_helping__c'),</v>
      </c>
    </row>
    <row r="115" spans="1:9" x14ac:dyDescent="0.4">
      <c r="A115" t="s">
        <v>124</v>
      </c>
      <c r="B115" t="str">
        <f t="shared" si="5"/>
        <v>Number_of_businesses_before__c,</v>
      </c>
      <c r="C115" t="s">
        <v>20</v>
      </c>
      <c r="D115" t="b">
        <v>1</v>
      </c>
      <c r="E115" t="s">
        <v>216</v>
      </c>
      <c r="F115" t="str">
        <f t="shared" si="6"/>
        <v>Number_of_businesses_before__c DOUBLE PRECISION,</v>
      </c>
      <c r="G115" t="str">
        <f t="shared" si="7"/>
        <v>%(Number_of_businesses_before__c)s,</v>
      </c>
      <c r="H115" t="str">
        <f t="shared" si="8"/>
        <v>Number_of_businesses_before__c = Excluded.Number_of_businesses_before__c,</v>
      </c>
      <c r="I115" t="str">
        <f t="shared" si="9"/>
        <v>'Number_of_businesses_before__c': cds_record.get('Number_of_businesses_before__c'),</v>
      </c>
    </row>
    <row r="116" spans="1:9" x14ac:dyDescent="0.4">
      <c r="A116" t="s">
        <v>125</v>
      </c>
      <c r="B116" t="str">
        <f t="shared" si="5"/>
        <v>Average_monthly_income__c,</v>
      </c>
      <c r="C116" t="s">
        <v>42</v>
      </c>
      <c r="D116" t="b">
        <v>1</v>
      </c>
      <c r="E116" t="s">
        <v>216</v>
      </c>
      <c r="F116" t="str">
        <f t="shared" si="6"/>
        <v>Average_monthly_income__c DOUBLE PRECISION,</v>
      </c>
      <c r="G116" t="str">
        <f t="shared" si="7"/>
        <v>%(Average_monthly_income__c)s,</v>
      </c>
      <c r="H116" t="str">
        <f t="shared" si="8"/>
        <v>Average_monthly_income__c = Excluded.Average_monthly_income__c,</v>
      </c>
      <c r="I116" t="str">
        <f t="shared" si="9"/>
        <v>'Average_monthly_income__c': cds_record.get('Average_monthly_income__c'),</v>
      </c>
    </row>
    <row r="117" spans="1:9" x14ac:dyDescent="0.4">
      <c r="A117" t="s">
        <v>126</v>
      </c>
      <c r="B117" t="str">
        <f t="shared" si="5"/>
        <v>Understand_the_products_shared_with_you__c,</v>
      </c>
      <c r="C117" t="s">
        <v>27</v>
      </c>
      <c r="D117" t="b">
        <v>1</v>
      </c>
      <c r="E117" t="s">
        <v>215</v>
      </c>
      <c r="F117" t="str">
        <f t="shared" si="6"/>
        <v>Understand_the_products_shared_with_you__c TEXT,</v>
      </c>
      <c r="G117" t="str">
        <f t="shared" si="7"/>
        <v>%(Understand_the_products_shared_with_you__c)s,</v>
      </c>
      <c r="H117" t="str">
        <f t="shared" si="8"/>
        <v>Understand_the_products_shared_with_you__c = Excluded.Understand_the_products_shared_with_you__c,</v>
      </c>
      <c r="I117" t="str">
        <f t="shared" si="9"/>
        <v>'Understand_the_products_shared_with_you__c': cds_record.get('Understand_the_products_shared_with_you__c'),</v>
      </c>
    </row>
    <row r="118" spans="1:9" x14ac:dyDescent="0.4">
      <c r="A118" t="s">
        <v>127</v>
      </c>
      <c r="B118" t="str">
        <f t="shared" si="5"/>
        <v>No_of_years_working_with_same_employer__c,</v>
      </c>
      <c r="C118" t="s">
        <v>20</v>
      </c>
      <c r="D118" t="b">
        <v>1</v>
      </c>
      <c r="E118" t="s">
        <v>216</v>
      </c>
      <c r="F118" t="str">
        <f t="shared" si="6"/>
        <v>No_of_years_working_with_same_employer__c DOUBLE PRECISION,</v>
      </c>
      <c r="G118" t="str">
        <f t="shared" si="7"/>
        <v>%(No_of_years_working_with_same_employer__c)s,</v>
      </c>
      <c r="H118" t="str">
        <f t="shared" si="8"/>
        <v>No_of_years_working_with_same_employer__c = Excluded.No_of_years_working_with_same_employer__c,</v>
      </c>
      <c r="I118" t="str">
        <f t="shared" si="9"/>
        <v>'No_of_years_working_with_same_employer__c': cds_record.get('No_of_years_working_with_same_employer__c'),</v>
      </c>
    </row>
    <row r="119" spans="1:9" x14ac:dyDescent="0.4">
      <c r="A119" t="s">
        <v>128</v>
      </c>
      <c r="B119" t="str">
        <f t="shared" si="5"/>
        <v>No_of_jobs_in_the_last_5yrs__c,</v>
      </c>
      <c r="C119" t="s">
        <v>20</v>
      </c>
      <c r="D119" t="b">
        <v>1</v>
      </c>
      <c r="E119" t="s">
        <v>216</v>
      </c>
      <c r="F119" t="str">
        <f t="shared" si="6"/>
        <v>No_of_jobs_in_the_last_5yrs__c DOUBLE PRECISION,</v>
      </c>
      <c r="G119" t="str">
        <f t="shared" si="7"/>
        <v>%(No_of_jobs_in_the_last_5yrs__c)s,</v>
      </c>
      <c r="H119" t="str">
        <f t="shared" si="8"/>
        <v>No_of_jobs_in_the_last_5yrs__c = Excluded.No_of_jobs_in_the_last_5yrs__c,</v>
      </c>
      <c r="I119" t="str">
        <f t="shared" si="9"/>
        <v>'No_of_jobs_in_the_last_5yrs__c': cds_record.get('No_of_jobs_in_the_last_5yrs__c'),</v>
      </c>
    </row>
    <row r="120" spans="1:9" x14ac:dyDescent="0.4">
      <c r="A120" t="s">
        <v>129</v>
      </c>
      <c r="B120" t="str">
        <f t="shared" si="5"/>
        <v>Total_amount_from_remittances__c,</v>
      </c>
      <c r="C120" t="s">
        <v>42</v>
      </c>
      <c r="D120" t="b">
        <v>1</v>
      </c>
      <c r="E120" t="s">
        <v>216</v>
      </c>
      <c r="F120" t="str">
        <f t="shared" si="6"/>
        <v>Total_amount_from_remittances__c DOUBLE PRECISION,</v>
      </c>
      <c r="G120" t="str">
        <f t="shared" si="7"/>
        <v>%(Total_amount_from_remittances__c)s,</v>
      </c>
      <c r="H120" t="str">
        <f t="shared" si="8"/>
        <v>Total_amount_from_remittances__c = Excluded.Total_amount_from_remittances__c,</v>
      </c>
      <c r="I120" t="str">
        <f t="shared" si="9"/>
        <v>'Total_amount_from_remittances__c': cds_record.get('Total_amount_from_remittances__c'),</v>
      </c>
    </row>
    <row r="121" spans="1:9" x14ac:dyDescent="0.4">
      <c r="A121" t="s">
        <v>130</v>
      </c>
      <c r="B121" t="str">
        <f t="shared" si="5"/>
        <v>Total_amount_from_Agriculture__c,</v>
      </c>
      <c r="C121" t="s">
        <v>42</v>
      </c>
      <c r="D121" t="b">
        <v>1</v>
      </c>
      <c r="E121" t="s">
        <v>216</v>
      </c>
      <c r="F121" t="str">
        <f t="shared" si="6"/>
        <v>Total_amount_from_Agriculture__c DOUBLE PRECISION,</v>
      </c>
      <c r="G121" t="str">
        <f t="shared" si="7"/>
        <v>%(Total_amount_from_Agriculture__c)s,</v>
      </c>
      <c r="H121" t="str">
        <f t="shared" si="8"/>
        <v>Total_amount_from_Agriculture__c = Excluded.Total_amount_from_Agriculture__c,</v>
      </c>
      <c r="I121" t="str">
        <f t="shared" si="9"/>
        <v>'Total_amount_from_Agriculture__c': cds_record.get('Total_amount_from_Agriculture__c'),</v>
      </c>
    </row>
    <row r="122" spans="1:9" x14ac:dyDescent="0.4">
      <c r="A122" t="s">
        <v>131</v>
      </c>
      <c r="B122" t="str">
        <f t="shared" si="5"/>
        <v>Total_amount_from_commerce_and_trade__c,</v>
      </c>
      <c r="C122" t="s">
        <v>42</v>
      </c>
      <c r="D122" t="b">
        <v>1</v>
      </c>
      <c r="E122" t="s">
        <v>216</v>
      </c>
      <c r="F122" t="str">
        <f t="shared" si="6"/>
        <v>Total_amount_from_commerce_and_trade__c DOUBLE PRECISION,</v>
      </c>
      <c r="G122" t="str">
        <f t="shared" si="7"/>
        <v>%(Total_amount_from_commerce_and_trade__c)s,</v>
      </c>
      <c r="H122" t="str">
        <f t="shared" si="8"/>
        <v>Total_amount_from_commerce_and_trade__c = Excluded.Total_amount_from_commerce_and_trade__c,</v>
      </c>
      <c r="I122" t="str">
        <f t="shared" si="9"/>
        <v>'Total_amount_from_commerce_and_trade__c': cds_record.get('Total_amount_from_commerce_and_trade__c'),</v>
      </c>
    </row>
    <row r="123" spans="1:9" x14ac:dyDescent="0.4">
      <c r="A123" t="s">
        <v>132</v>
      </c>
      <c r="B123" t="str">
        <f t="shared" si="5"/>
        <v>Total_Amt_from_salary_private_inst__c,</v>
      </c>
      <c r="C123" t="s">
        <v>42</v>
      </c>
      <c r="D123" t="b">
        <v>1</v>
      </c>
      <c r="E123" t="s">
        <v>216</v>
      </c>
      <c r="F123" t="str">
        <f t="shared" si="6"/>
        <v>Total_Amt_from_salary_private_inst__c DOUBLE PRECISION,</v>
      </c>
      <c r="G123" t="str">
        <f t="shared" si="7"/>
        <v>%(Total_Amt_from_salary_private_inst__c)s,</v>
      </c>
      <c r="H123" t="str">
        <f t="shared" si="8"/>
        <v>Total_Amt_from_salary_private_inst__c = Excluded.Total_Amt_from_salary_private_inst__c,</v>
      </c>
      <c r="I123" t="str">
        <f t="shared" si="9"/>
        <v>'Total_Amt_from_salary_private_inst__c': cds_record.get('Total_Amt_from_salary_private_inst__c'),</v>
      </c>
    </row>
    <row r="124" spans="1:9" x14ac:dyDescent="0.4">
      <c r="A124" t="s">
        <v>133</v>
      </c>
      <c r="B124" t="str">
        <f t="shared" si="5"/>
        <v>Total_amount_from_provision_of_services__c,</v>
      </c>
      <c r="C124" t="s">
        <v>42</v>
      </c>
      <c r="D124" t="b">
        <v>1</v>
      </c>
      <c r="E124" t="s">
        <v>216</v>
      </c>
      <c r="F124" t="str">
        <f t="shared" si="6"/>
        <v>Total_amount_from_provision_of_services__c DOUBLE PRECISION,</v>
      </c>
      <c r="G124" t="str">
        <f t="shared" si="7"/>
        <v>%(Total_amount_from_provision_of_services__c)s,</v>
      </c>
      <c r="H124" t="str">
        <f t="shared" si="8"/>
        <v>Total_amount_from_provision_of_services__c = Excluded.Total_amount_from_provision_of_services__c,</v>
      </c>
      <c r="I124" t="str">
        <f t="shared" si="9"/>
        <v>'Total_amount_from_provision_of_services__c': cds_record.get('Total_amount_from_provision_of_services__c'),</v>
      </c>
    </row>
    <row r="125" spans="1:9" x14ac:dyDescent="0.4">
      <c r="A125" t="s">
        <v>134</v>
      </c>
      <c r="B125" t="str">
        <f t="shared" si="5"/>
        <v>Agent_seek_to_understand_how_you_source__c,</v>
      </c>
      <c r="C125" t="s">
        <v>27</v>
      </c>
      <c r="D125" t="b">
        <v>1</v>
      </c>
      <c r="E125" t="s">
        <v>215</v>
      </c>
      <c r="F125" t="str">
        <f t="shared" si="6"/>
        <v>Agent_seek_to_understand_how_you_source__c TEXT,</v>
      </c>
      <c r="G125" t="str">
        <f t="shared" si="7"/>
        <v>%(Agent_seek_to_understand_how_you_source__c)s,</v>
      </c>
      <c r="H125" t="str">
        <f t="shared" si="8"/>
        <v>Agent_seek_to_understand_how_you_source__c = Excluded.Agent_seek_to_understand_how_you_source__c,</v>
      </c>
      <c r="I125" t="str">
        <f t="shared" si="9"/>
        <v>'Agent_seek_to_understand_how_you_source__c': cds_record.get('Agent_seek_to_understand_how_you_source__c'),</v>
      </c>
    </row>
    <row r="126" spans="1:9" x14ac:dyDescent="0.4">
      <c r="A126" t="s">
        <v>135</v>
      </c>
      <c r="B126" t="str">
        <f t="shared" si="5"/>
        <v>Amount_spent_on_school_fees__c,</v>
      </c>
      <c r="C126" t="s">
        <v>42</v>
      </c>
      <c r="D126" t="b">
        <v>1</v>
      </c>
      <c r="E126" t="s">
        <v>216</v>
      </c>
      <c r="F126" t="str">
        <f t="shared" si="6"/>
        <v>Amount_spent_on_school_fees__c DOUBLE PRECISION,</v>
      </c>
      <c r="G126" t="str">
        <f t="shared" si="7"/>
        <v>%(Amount_spent_on_school_fees__c)s,</v>
      </c>
      <c r="H126" t="str">
        <f t="shared" si="8"/>
        <v>Amount_spent_on_school_fees__c = Excluded.Amount_spent_on_school_fees__c,</v>
      </c>
      <c r="I126" t="str">
        <f t="shared" si="9"/>
        <v>'Amount_spent_on_school_fees__c': cds_record.get('Amount_spent_on_school_fees__c'),</v>
      </c>
    </row>
    <row r="127" spans="1:9" x14ac:dyDescent="0.4">
      <c r="A127" t="s">
        <v>136</v>
      </c>
      <c r="B127" t="str">
        <f t="shared" si="5"/>
        <v>Amount_spent_on_food__c,</v>
      </c>
      <c r="C127" t="s">
        <v>42</v>
      </c>
      <c r="D127" t="b">
        <v>1</v>
      </c>
      <c r="E127" t="s">
        <v>216</v>
      </c>
      <c r="F127" t="str">
        <f t="shared" si="6"/>
        <v>Amount_spent_on_food__c DOUBLE PRECISION,</v>
      </c>
      <c r="G127" t="str">
        <f t="shared" si="7"/>
        <v>%(Amount_spent_on_food__c)s,</v>
      </c>
      <c r="H127" t="str">
        <f t="shared" si="8"/>
        <v>Amount_spent_on_food__c = Excluded.Amount_spent_on_food__c,</v>
      </c>
      <c r="I127" t="str">
        <f t="shared" si="9"/>
        <v>'Amount_spent_on_food__c': cds_record.get('Amount_spent_on_food__c'),</v>
      </c>
    </row>
    <row r="128" spans="1:9" x14ac:dyDescent="0.4">
      <c r="A128" t="s">
        <v>137</v>
      </c>
      <c r="B128" t="str">
        <f t="shared" si="5"/>
        <v>Amount_spent_on_farm_inputs__c,</v>
      </c>
      <c r="C128" t="s">
        <v>42</v>
      </c>
      <c r="D128" t="b">
        <v>1</v>
      </c>
      <c r="E128" t="s">
        <v>216</v>
      </c>
      <c r="F128" t="str">
        <f t="shared" si="6"/>
        <v>Amount_spent_on_farm_inputs__c DOUBLE PRECISION,</v>
      </c>
      <c r="G128" t="str">
        <f t="shared" si="7"/>
        <v>%(Amount_spent_on_farm_inputs__c)s,</v>
      </c>
      <c r="H128" t="str">
        <f t="shared" si="8"/>
        <v>Amount_spent_on_farm_inputs__c = Excluded.Amount_spent_on_farm_inputs__c,</v>
      </c>
      <c r="I128" t="str">
        <f t="shared" si="9"/>
        <v>'Amount_spent_on_farm_inputs__c': cds_record.get('Amount_spent_on_farm_inputs__c'),</v>
      </c>
    </row>
    <row r="129" spans="1:9" x14ac:dyDescent="0.4">
      <c r="A129" t="s">
        <v>138</v>
      </c>
      <c r="B129" t="str">
        <f t="shared" si="5"/>
        <v>Amount_spent_on_rent__c,</v>
      </c>
      <c r="C129" t="s">
        <v>42</v>
      </c>
      <c r="D129" t="b">
        <v>1</v>
      </c>
      <c r="E129" t="s">
        <v>216</v>
      </c>
      <c r="F129" t="str">
        <f t="shared" si="6"/>
        <v>Amount_spent_on_rent__c DOUBLE PRECISION,</v>
      </c>
      <c r="G129" t="str">
        <f t="shared" si="7"/>
        <v>%(Amount_spent_on_rent__c)s,</v>
      </c>
      <c r="H129" t="str">
        <f t="shared" si="8"/>
        <v>Amount_spent_on_rent__c = Excluded.Amount_spent_on_rent__c,</v>
      </c>
      <c r="I129" t="str">
        <f t="shared" si="9"/>
        <v>'Amount_spent_on_rent__c': cds_record.get('Amount_spent_on_rent__c'),</v>
      </c>
    </row>
    <row r="130" spans="1:9" x14ac:dyDescent="0.4">
      <c r="A130" t="s">
        <v>139</v>
      </c>
      <c r="B130" t="str">
        <f t="shared" si="5"/>
        <v>Amount_spent_on_loans__c,</v>
      </c>
      <c r="C130" t="s">
        <v>42</v>
      </c>
      <c r="D130" t="b">
        <v>1</v>
      </c>
      <c r="E130" t="s">
        <v>216</v>
      </c>
      <c r="F130" t="str">
        <f t="shared" si="6"/>
        <v>Amount_spent_on_loans__c DOUBLE PRECISION,</v>
      </c>
      <c r="G130" t="str">
        <f t="shared" si="7"/>
        <v>%(Amount_spent_on_loans__c)s,</v>
      </c>
      <c r="H130" t="str">
        <f t="shared" si="8"/>
        <v>Amount_spent_on_loans__c = Excluded.Amount_spent_on_loans__c,</v>
      </c>
      <c r="I130" t="str">
        <f t="shared" si="9"/>
        <v>'Amount_spent_on_loans__c': cds_record.get('Amount_spent_on_loans__c'),</v>
      </c>
    </row>
    <row r="131" spans="1:9" x14ac:dyDescent="0.4">
      <c r="A131" t="s">
        <v>140</v>
      </c>
      <c r="B131" t="str">
        <f t="shared" ref="B131:B194" si="10">_xlfn.CONCAT(A131,",")</f>
        <v>Amount_spent_on_other__c,</v>
      </c>
      <c r="C131" t="s">
        <v>42</v>
      </c>
      <c r="D131" t="b">
        <v>1</v>
      </c>
      <c r="E131" t="s">
        <v>216</v>
      </c>
      <c r="F131" t="str">
        <f t="shared" ref="F131:F194" si="11">_xlfn.CONCAT(A131, " ", E131, ",")</f>
        <v>Amount_spent_on_other__c DOUBLE PRECISION,</v>
      </c>
      <c r="G131" t="str">
        <f t="shared" ref="G131:G194" si="12">_xlfn.CONCAT("%(",A131,")s,")</f>
        <v>%(Amount_spent_on_other__c)s,</v>
      </c>
      <c r="H131" t="str">
        <f t="shared" ref="H131:H194" si="13">_xlfn.CONCAT(A131, " = Excluded.",A131,",")</f>
        <v>Amount_spent_on_other__c = Excluded.Amount_spent_on_other__c,</v>
      </c>
      <c r="I131" t="str">
        <f t="shared" ref="I131:I194" si="14">_xlfn.CONCAT("'",A131,"': cds_record.get('",A131,"'),")</f>
        <v>'Amount_spent_on_other__c': cds_record.get('Amount_spent_on_other__c'),</v>
      </c>
    </row>
    <row r="132" spans="1:9" x14ac:dyDescent="0.4">
      <c r="A132" t="s">
        <v>141</v>
      </c>
      <c r="B132" t="str">
        <f t="shared" si="10"/>
        <v>Currently_have_any_outstanding_loans__c,</v>
      </c>
      <c r="C132" t="s">
        <v>27</v>
      </c>
      <c r="D132" t="b">
        <v>1</v>
      </c>
      <c r="E132" t="s">
        <v>215</v>
      </c>
      <c r="F132" t="str">
        <f t="shared" si="11"/>
        <v>Currently_have_any_outstanding_loans__c TEXT,</v>
      </c>
      <c r="G132" t="str">
        <f t="shared" si="12"/>
        <v>%(Currently_have_any_outstanding_loans__c)s,</v>
      </c>
      <c r="H132" t="str">
        <f t="shared" si="13"/>
        <v>Currently_have_any_outstanding_loans__c = Excluded.Currently_have_any_outstanding_loans__c,</v>
      </c>
      <c r="I132" t="str">
        <f t="shared" si="14"/>
        <v>'Currently_have_any_outstanding_loans__c': cds_record.get('Currently_have_any_outstanding_loans__c'),</v>
      </c>
    </row>
    <row r="133" spans="1:9" x14ac:dyDescent="0.4">
      <c r="A133" t="s">
        <v>142</v>
      </c>
      <c r="B133" t="str">
        <f t="shared" si="10"/>
        <v>Total_amount_of_outstanding_loan_s__c,</v>
      </c>
      <c r="C133" t="s">
        <v>42</v>
      </c>
      <c r="D133" t="b">
        <v>1</v>
      </c>
      <c r="E133" t="s">
        <v>216</v>
      </c>
      <c r="F133" t="str">
        <f t="shared" si="11"/>
        <v>Total_amount_of_outstanding_loan_s__c DOUBLE PRECISION,</v>
      </c>
      <c r="G133" t="str">
        <f t="shared" si="12"/>
        <v>%(Total_amount_of_outstanding_loan_s__c)s,</v>
      </c>
      <c r="H133" t="str">
        <f t="shared" si="13"/>
        <v>Total_amount_of_outstanding_loan_s__c = Excluded.Total_amount_of_outstanding_loan_s__c,</v>
      </c>
      <c r="I133" t="str">
        <f t="shared" si="14"/>
        <v>'Total_amount_of_outstanding_loan_s__c': cds_record.get('Total_amount_of_outstanding_loan_s__c'),</v>
      </c>
    </row>
    <row r="134" spans="1:9" x14ac:dyDescent="0.4">
      <c r="A134" t="s">
        <v>143</v>
      </c>
      <c r="B134" t="str">
        <f t="shared" si="10"/>
        <v>No_of_months_to_finish_paying_loan_s__c,</v>
      </c>
      <c r="C134" t="s">
        <v>20</v>
      </c>
      <c r="D134" t="b">
        <v>1</v>
      </c>
      <c r="E134" t="s">
        <v>216</v>
      </c>
      <c r="F134" t="str">
        <f t="shared" si="11"/>
        <v>No_of_months_to_finish_paying_loan_s__c DOUBLE PRECISION,</v>
      </c>
      <c r="G134" t="str">
        <f t="shared" si="12"/>
        <v>%(No_of_months_to_finish_paying_loan_s__c)s,</v>
      </c>
      <c r="H134" t="str">
        <f t="shared" si="13"/>
        <v>No_of_months_to_finish_paying_loan_s__c = Excluded.No_of_months_to_finish_paying_loan_s__c,</v>
      </c>
      <c r="I134" t="str">
        <f t="shared" si="14"/>
        <v>'No_of_months_to_finish_paying_loan_s__c': cds_record.get('No_of_months_to_finish_paying_loan_s__c'),</v>
      </c>
    </row>
    <row r="135" spans="1:9" x14ac:dyDescent="0.4">
      <c r="A135" t="s">
        <v>144</v>
      </c>
      <c r="B135" t="str">
        <f t="shared" si="10"/>
        <v>Preferred_banking_method__c,</v>
      </c>
      <c r="C135" t="s">
        <v>27</v>
      </c>
      <c r="D135" t="b">
        <v>1</v>
      </c>
      <c r="E135" t="s">
        <v>215</v>
      </c>
      <c r="F135" t="str">
        <f t="shared" si="11"/>
        <v>Preferred_banking_method__c TEXT,</v>
      </c>
      <c r="G135" t="str">
        <f t="shared" si="12"/>
        <v>%(Preferred_banking_method__c)s,</v>
      </c>
      <c r="H135" t="str">
        <f t="shared" si="13"/>
        <v>Preferred_banking_method__c = Excluded.Preferred_banking_method__c,</v>
      </c>
      <c r="I135" t="str">
        <f t="shared" si="14"/>
        <v>'Preferred_banking_method__c': cds_record.get('Preferred_banking_method__c'),</v>
      </c>
    </row>
    <row r="136" spans="1:9" x14ac:dyDescent="0.4">
      <c r="A136" t="s">
        <v>145</v>
      </c>
      <c r="B136" t="str">
        <f t="shared" si="10"/>
        <v>World_perception_supplier__c,</v>
      </c>
      <c r="C136" t="s">
        <v>27</v>
      </c>
      <c r="D136" t="b">
        <v>1</v>
      </c>
      <c r="E136" t="s">
        <v>215</v>
      </c>
      <c r="F136" t="str">
        <f t="shared" si="11"/>
        <v>World_perception_supplier__c TEXT,</v>
      </c>
      <c r="G136" t="str">
        <f t="shared" si="12"/>
        <v>%(World_perception_supplier__c)s,</v>
      </c>
      <c r="H136" t="str">
        <f t="shared" si="13"/>
        <v>World_perception_supplier__c = Excluded.World_perception_supplier__c,</v>
      </c>
      <c r="I136" t="str">
        <f t="shared" si="14"/>
        <v>'World_perception_supplier__c': cds_record.get('World_perception_supplier__c'),</v>
      </c>
    </row>
    <row r="137" spans="1:9" x14ac:dyDescent="0.4">
      <c r="A137" t="s">
        <v>146</v>
      </c>
      <c r="B137" t="str">
        <f t="shared" si="10"/>
        <v>World_perception_default__c,</v>
      </c>
      <c r="C137" t="s">
        <v>27</v>
      </c>
      <c r="D137" t="b">
        <v>1</v>
      </c>
      <c r="E137" t="s">
        <v>215</v>
      </c>
      <c r="F137" t="str">
        <f t="shared" si="11"/>
        <v>World_perception_default__c TEXT,</v>
      </c>
      <c r="G137" t="str">
        <f t="shared" si="12"/>
        <v>%(World_perception_default__c)s,</v>
      </c>
      <c r="H137" t="str">
        <f t="shared" si="13"/>
        <v>World_perception_default__c = Excluded.World_perception_default__c,</v>
      </c>
      <c r="I137" t="str">
        <f t="shared" si="14"/>
        <v>'World_perception_default__c': cds_record.get('World_perception_default__c'),</v>
      </c>
    </row>
    <row r="138" spans="1:9" x14ac:dyDescent="0.4">
      <c r="A138" t="s">
        <v>147</v>
      </c>
      <c r="B138" t="str">
        <f t="shared" si="10"/>
        <v>Number_of_loans_taken_in_the_last_2yrs__c,</v>
      </c>
      <c r="C138" t="s">
        <v>20</v>
      </c>
      <c r="D138" t="b">
        <v>1</v>
      </c>
      <c r="E138" t="s">
        <v>216</v>
      </c>
      <c r="F138" t="str">
        <f t="shared" si="11"/>
        <v>Number_of_loans_taken_in_the_last_2yrs__c DOUBLE PRECISION,</v>
      </c>
      <c r="G138" t="str">
        <f t="shared" si="12"/>
        <v>%(Number_of_loans_taken_in_the_last_2yrs__c)s,</v>
      </c>
      <c r="H138" t="str">
        <f t="shared" si="13"/>
        <v>Number_of_loans_taken_in_the_last_2yrs__c = Excluded.Number_of_loans_taken_in_the_last_2yrs__c,</v>
      </c>
      <c r="I138" t="str">
        <f t="shared" si="14"/>
        <v>'Number_of_loans_taken_in_the_last_2yrs__c': cds_record.get('Number_of_loans_taken_in_the_last_2yrs__c'),</v>
      </c>
    </row>
    <row r="139" spans="1:9" x14ac:dyDescent="0.4">
      <c r="A139" t="s">
        <v>148</v>
      </c>
      <c r="B139" t="str">
        <f t="shared" si="10"/>
        <v>Periodicity_of_the_income__c,</v>
      </c>
      <c r="C139" t="s">
        <v>27</v>
      </c>
      <c r="D139" t="b">
        <v>1</v>
      </c>
      <c r="E139" t="s">
        <v>215</v>
      </c>
      <c r="F139" t="str">
        <f t="shared" si="11"/>
        <v>Periodicity_of_the_income__c TEXT,</v>
      </c>
      <c r="G139" t="str">
        <f t="shared" si="12"/>
        <v>%(Periodicity_of_the_income__c)s,</v>
      </c>
      <c r="H139" t="str">
        <f t="shared" si="13"/>
        <v>Periodicity_of_the_income__c = Excluded.Periodicity_of_the_income__c,</v>
      </c>
      <c r="I139" t="str">
        <f t="shared" si="14"/>
        <v>'Periodicity_of_the_income__c': cds_record.get('Periodicity_of_the_income__c'),</v>
      </c>
    </row>
    <row r="140" spans="1:9" x14ac:dyDescent="0.4">
      <c r="A140" t="s">
        <v>149</v>
      </c>
      <c r="B140" t="str">
        <f t="shared" si="10"/>
        <v>Like_further_clarification_on_our_Prod__c,</v>
      </c>
      <c r="C140" t="s">
        <v>27</v>
      </c>
      <c r="D140" t="b">
        <v>1</v>
      </c>
      <c r="E140" t="s">
        <v>215</v>
      </c>
      <c r="F140" t="str">
        <f t="shared" si="11"/>
        <v>Like_further_clarification_on_our_Prod__c TEXT,</v>
      </c>
      <c r="G140" t="str">
        <f t="shared" si="12"/>
        <v>%(Like_further_clarification_on_our_Prod__c)s,</v>
      </c>
      <c r="H140" t="str">
        <f t="shared" si="13"/>
        <v>Like_further_clarification_on_our_Prod__c = Excluded.Like_further_clarification_on_our_Prod__c,</v>
      </c>
      <c r="I140" t="str">
        <f t="shared" si="14"/>
        <v>'Like_further_clarification_on_our_Prod__c': cds_record.get('Like_further_clarification_on_our_Prod__c'),</v>
      </c>
    </row>
    <row r="141" spans="1:9" x14ac:dyDescent="0.4">
      <c r="A141" t="s">
        <v>150</v>
      </c>
      <c r="B141" t="str">
        <f t="shared" si="10"/>
        <v>Likelihood_to_recommend_our_Prod__c,</v>
      </c>
      <c r="C141" t="s">
        <v>27</v>
      </c>
      <c r="D141" t="b">
        <v>1</v>
      </c>
      <c r="E141" t="s">
        <v>215</v>
      </c>
      <c r="F141" t="str">
        <f t="shared" si="11"/>
        <v>Likelihood_to_recommend_our_Prod__c TEXT,</v>
      </c>
      <c r="G141" t="str">
        <f t="shared" si="12"/>
        <v>%(Likelihood_to_recommend_our_Prod__c)s,</v>
      </c>
      <c r="H141" t="str">
        <f t="shared" si="13"/>
        <v>Likelihood_to_recommend_our_Prod__c = Excluded.Likelihood_to_recommend_our_Prod__c,</v>
      </c>
      <c r="I141" t="str">
        <f t="shared" si="14"/>
        <v>'Likelihood_to_recommend_our_Prod__c': cds_record.get('Likelihood_to_recommend_our_Prod__c'),</v>
      </c>
    </row>
    <row r="142" spans="1:9" x14ac:dyDescent="0.4">
      <c r="A142" t="s">
        <v>151</v>
      </c>
      <c r="B142" t="str">
        <f t="shared" si="10"/>
        <v>Name_Number_of_the_recommend_client__c,</v>
      </c>
      <c r="C142" t="s">
        <v>8</v>
      </c>
      <c r="D142" t="b">
        <v>1</v>
      </c>
      <c r="E142" t="s">
        <v>215</v>
      </c>
      <c r="F142" t="str">
        <f t="shared" si="11"/>
        <v>Name_Number_of_the_recommend_client__c TEXT,</v>
      </c>
      <c r="G142" t="str">
        <f t="shared" si="12"/>
        <v>%(Name_Number_of_the_recommend_client__c)s,</v>
      </c>
      <c r="H142" t="str">
        <f t="shared" si="13"/>
        <v>Name_Number_of_the_recommend_client__c = Excluded.Name_Number_of_the_recommend_client__c,</v>
      </c>
      <c r="I142" t="str">
        <f t="shared" si="14"/>
        <v>'Name_Number_of_the_recommend_client__c': cds_record.get('Name_Number_of_the_recommend_client__c'),</v>
      </c>
    </row>
    <row r="143" spans="1:9" x14ac:dyDescent="0.4">
      <c r="A143" t="s">
        <v>152</v>
      </c>
      <c r="B143" t="str">
        <f t="shared" si="10"/>
        <v>Agent__c,</v>
      </c>
      <c r="C143" t="s">
        <v>4</v>
      </c>
      <c r="D143" t="b">
        <v>1</v>
      </c>
      <c r="E143" t="s">
        <v>215</v>
      </c>
      <c r="F143" t="str">
        <f t="shared" si="11"/>
        <v>Agent__c TEXT,</v>
      </c>
      <c r="G143" t="str">
        <f t="shared" si="12"/>
        <v>%(Agent__c)s,</v>
      </c>
      <c r="H143" t="str">
        <f t="shared" si="13"/>
        <v>Agent__c = Excluded.Agent__c,</v>
      </c>
      <c r="I143" t="str">
        <f t="shared" si="14"/>
        <v>'Agent__c': cds_record.get('Agent__c'),</v>
      </c>
    </row>
    <row r="144" spans="1:9" x14ac:dyDescent="0.4">
      <c r="A144" t="s">
        <v>153</v>
      </c>
      <c r="B144" t="str">
        <f t="shared" si="10"/>
        <v>Survey_Completed__c,</v>
      </c>
      <c r="C144" t="s">
        <v>6</v>
      </c>
      <c r="D144" t="b">
        <v>1</v>
      </c>
      <c r="E144" t="s">
        <v>215</v>
      </c>
      <c r="F144" t="str">
        <f t="shared" si="11"/>
        <v>Survey_Completed__c TEXT,</v>
      </c>
      <c r="G144" t="str">
        <f t="shared" si="12"/>
        <v>%(Survey_Completed__c)s,</v>
      </c>
      <c r="H144" t="str">
        <f t="shared" si="13"/>
        <v>Survey_Completed__c = Excluded.Survey_Completed__c,</v>
      </c>
      <c r="I144" t="str">
        <f t="shared" si="14"/>
        <v>'Survey_Completed__c': cds_record.get('Survey_Completed__c'),</v>
      </c>
    </row>
    <row r="145" spans="1:9" x14ac:dyDescent="0.4">
      <c r="A145" t="s">
        <v>154</v>
      </c>
      <c r="B145" t="str">
        <f t="shared" si="10"/>
        <v>Duration_with_same_employer_5yrs_F__c,</v>
      </c>
      <c r="C145" t="s">
        <v>6</v>
      </c>
      <c r="D145" t="b">
        <v>1</v>
      </c>
      <c r="E145" t="s">
        <v>215</v>
      </c>
      <c r="F145" t="str">
        <f t="shared" si="11"/>
        <v>Duration_with_same_employer_5yrs_F__c TEXT,</v>
      </c>
      <c r="G145" t="str">
        <f t="shared" si="12"/>
        <v>%(Duration_with_same_employer_5yrs_F__c)s,</v>
      </c>
      <c r="H145" t="str">
        <f t="shared" si="13"/>
        <v>Duration_with_same_employer_5yrs_F__c = Excluded.Duration_with_same_employer_5yrs_F__c,</v>
      </c>
      <c r="I145" t="str">
        <f t="shared" si="14"/>
        <v>'Duration_with_same_employer_5yrs_F__c': cds_record.get('Duration_with_same_employer_5yrs_F__c'),</v>
      </c>
    </row>
    <row r="146" spans="1:9" x14ac:dyDescent="0.4">
      <c r="A146" t="s">
        <v>155</v>
      </c>
      <c r="B146" t="str">
        <f t="shared" si="10"/>
        <v>water_source_river__c,</v>
      </c>
      <c r="C146" t="s">
        <v>6</v>
      </c>
      <c r="D146" t="b">
        <v>1</v>
      </c>
      <c r="E146" t="s">
        <v>215</v>
      </c>
      <c r="F146" t="str">
        <f t="shared" si="11"/>
        <v>water_source_river__c TEXT,</v>
      </c>
      <c r="G146" t="str">
        <f t="shared" si="12"/>
        <v>%(water_source_river__c)s,</v>
      </c>
      <c r="H146" t="str">
        <f t="shared" si="13"/>
        <v>water_source_river__c = Excluded.water_source_river__c,</v>
      </c>
      <c r="I146" t="str">
        <f t="shared" si="14"/>
        <v>'water_source_river__c': cds_record.get('water_source_river__c'),</v>
      </c>
    </row>
    <row r="147" spans="1:9" x14ac:dyDescent="0.4">
      <c r="A147" t="s">
        <v>156</v>
      </c>
      <c r="B147" t="str">
        <f t="shared" si="10"/>
        <v>Stage__c,</v>
      </c>
      <c r="C147" t="s">
        <v>27</v>
      </c>
      <c r="D147" t="b">
        <v>1</v>
      </c>
      <c r="E147" t="s">
        <v>215</v>
      </c>
      <c r="F147" t="str">
        <f t="shared" si="11"/>
        <v>Stage__c TEXT,</v>
      </c>
      <c r="G147" t="str">
        <f t="shared" si="12"/>
        <v>%(Stage__c)s,</v>
      </c>
      <c r="H147" t="str">
        <f t="shared" si="13"/>
        <v>Stage__c = Excluded.Stage__c,</v>
      </c>
      <c r="I147" t="str">
        <f t="shared" si="14"/>
        <v>'Stage__c': cds_record.get('Stage__c'),</v>
      </c>
    </row>
    <row r="148" spans="1:9" x14ac:dyDescent="0.4">
      <c r="A148" t="s">
        <v>157</v>
      </c>
      <c r="B148" t="str">
        <f t="shared" si="10"/>
        <v>Account_Number__c,</v>
      </c>
      <c r="C148" t="s">
        <v>8</v>
      </c>
      <c r="D148" t="b">
        <v>1</v>
      </c>
      <c r="E148" t="s">
        <v>215</v>
      </c>
      <c r="F148" t="str">
        <f t="shared" si="11"/>
        <v>Account_Number__c TEXT,</v>
      </c>
      <c r="G148" t="str">
        <f t="shared" si="12"/>
        <v>%(Account_Number__c)s,</v>
      </c>
      <c r="H148" t="str">
        <f t="shared" si="13"/>
        <v>Account_Number__c = Excluded.Account_Number__c,</v>
      </c>
      <c r="I148" t="str">
        <f t="shared" si="14"/>
        <v>'Account_Number__c': cds_record.get('Account_Number__c'),</v>
      </c>
    </row>
    <row r="149" spans="1:9" x14ac:dyDescent="0.4">
      <c r="A149" t="s">
        <v>158</v>
      </c>
      <c r="B149" t="str">
        <f t="shared" si="10"/>
        <v>Gender_Male_F__c,</v>
      </c>
      <c r="C149" t="s">
        <v>6</v>
      </c>
      <c r="D149" t="b">
        <v>1</v>
      </c>
      <c r="E149" t="s">
        <v>215</v>
      </c>
      <c r="F149" t="str">
        <f t="shared" si="11"/>
        <v>Gender_Male_F__c TEXT,</v>
      </c>
      <c r="G149" t="str">
        <f t="shared" si="12"/>
        <v>%(Gender_Male_F__c)s,</v>
      </c>
      <c r="H149" t="str">
        <f t="shared" si="13"/>
        <v>Gender_Male_F__c = Excluded.Gender_Male_F__c,</v>
      </c>
      <c r="I149" t="str">
        <f t="shared" si="14"/>
        <v>'Gender_Male_F__c': cds_record.get('Gender_Male_F__c'),</v>
      </c>
    </row>
    <row r="150" spans="1:9" x14ac:dyDescent="0.4">
      <c r="A150" t="s">
        <v>159</v>
      </c>
      <c r="B150" t="str">
        <f t="shared" si="10"/>
        <v>World_perception_supplier_6080_F__c,</v>
      </c>
      <c r="C150" t="s">
        <v>6</v>
      </c>
      <c r="D150" t="b">
        <v>1</v>
      </c>
      <c r="E150" t="s">
        <v>215</v>
      </c>
      <c r="F150" t="str">
        <f t="shared" si="11"/>
        <v>World_perception_supplier_6080_F__c TEXT,</v>
      </c>
      <c r="G150" t="str">
        <f t="shared" si="12"/>
        <v>%(World_perception_supplier_6080_F__c)s,</v>
      </c>
      <c r="H150" t="str">
        <f t="shared" si="13"/>
        <v>World_perception_supplier_6080_F__c = Excluded.World_perception_supplier_6080_F__c,</v>
      </c>
      <c r="I150" t="str">
        <f t="shared" si="14"/>
        <v>'World_perception_supplier_6080_F__c': cds_record.get('World_perception_supplier_6080_F__c'),</v>
      </c>
    </row>
    <row r="151" spans="1:9" x14ac:dyDescent="0.4">
      <c r="A151" t="s">
        <v>160</v>
      </c>
      <c r="B151" t="str">
        <f t="shared" si="10"/>
        <v>Overall_Risk_Assessment_Low_Risk_F__c,</v>
      </c>
      <c r="C151" t="s">
        <v>6</v>
      </c>
      <c r="D151" t="b">
        <v>1</v>
      </c>
      <c r="E151" t="s">
        <v>215</v>
      </c>
      <c r="F151" t="str">
        <f t="shared" si="11"/>
        <v>Overall_Risk_Assessment_Low_Risk_F__c TEXT,</v>
      </c>
      <c r="G151" t="str">
        <f t="shared" si="12"/>
        <v>%(Overall_Risk_Assessment_Low_Risk_F__c)s,</v>
      </c>
      <c r="H151" t="str">
        <f t="shared" si="13"/>
        <v>Overall_Risk_Assessment_Low_Risk_F__c = Excluded.Overall_Risk_Assessment_Low_Risk_F__c,</v>
      </c>
      <c r="I151" t="str">
        <f t="shared" si="14"/>
        <v>'Overall_Risk_Assessment_Low_Risk_F__c': cds_record.get('Overall_Risk_Assessment_Low_Risk_F__c'),</v>
      </c>
    </row>
    <row r="152" spans="1:9" x14ac:dyDescent="0.4">
      <c r="A152" t="s">
        <v>161</v>
      </c>
      <c r="B152" t="str">
        <f t="shared" si="10"/>
        <v>Other_sources_of_water_river_F__c,</v>
      </c>
      <c r="C152" t="s">
        <v>6</v>
      </c>
      <c r="D152" t="b">
        <v>1</v>
      </c>
      <c r="E152" t="s">
        <v>215</v>
      </c>
      <c r="F152" t="str">
        <f t="shared" si="11"/>
        <v>Other_sources_of_water_river_F__c TEXT,</v>
      </c>
      <c r="G152" t="str">
        <f t="shared" si="12"/>
        <v>%(Other_sources_of_water_river_F__c)s,</v>
      </c>
      <c r="H152" t="str">
        <f t="shared" si="13"/>
        <v>Other_sources_of_water_river_F__c = Excluded.Other_sources_of_water_river_F__c,</v>
      </c>
      <c r="I152" t="str">
        <f t="shared" si="14"/>
        <v>'Other_sources_of_water_river_F__c': cds_record.get('Other_sources_of_water_river_F__c'),</v>
      </c>
    </row>
    <row r="153" spans="1:9" x14ac:dyDescent="0.4">
      <c r="A153" t="s">
        <v>162</v>
      </c>
      <c r="B153" t="str">
        <f t="shared" si="10"/>
        <v>Other_sources_of_water_Borehole_F__c,</v>
      </c>
      <c r="C153" t="s">
        <v>6</v>
      </c>
      <c r="D153" t="b">
        <v>1</v>
      </c>
      <c r="E153" t="s">
        <v>215</v>
      </c>
      <c r="F153" t="str">
        <f t="shared" si="11"/>
        <v>Other_sources_of_water_Borehole_F__c TEXT,</v>
      </c>
      <c r="G153" t="str">
        <f t="shared" si="12"/>
        <v>%(Other_sources_of_water_Borehole_F__c)s,</v>
      </c>
      <c r="H153" t="str">
        <f t="shared" si="13"/>
        <v>Other_sources_of_water_Borehole_F__c = Excluded.Other_sources_of_water_Borehole_F__c,</v>
      </c>
      <c r="I153" t="str">
        <f t="shared" si="14"/>
        <v>'Other_sources_of_water_Borehole_F__c': cds_record.get('Other_sources_of_water_Borehole_F__c'),</v>
      </c>
    </row>
    <row r="154" spans="1:9" x14ac:dyDescent="0.4">
      <c r="A154" t="s">
        <v>163</v>
      </c>
      <c r="B154" t="str">
        <f t="shared" si="10"/>
        <v>Do_you_have_animals_4F__c,</v>
      </c>
      <c r="C154" t="s">
        <v>6</v>
      </c>
      <c r="D154" t="b">
        <v>1</v>
      </c>
      <c r="E154" t="s">
        <v>215</v>
      </c>
      <c r="F154" t="str">
        <f t="shared" si="11"/>
        <v>Do_you_have_animals_4F__c TEXT,</v>
      </c>
      <c r="G154" t="str">
        <f t="shared" si="12"/>
        <v>%(Do_you_have_animals_4F__c)s,</v>
      </c>
      <c r="H154" t="str">
        <f t="shared" si="13"/>
        <v>Do_you_have_animals_4F__c = Excluded.Do_you_have_animals_4F__c,</v>
      </c>
      <c r="I154" t="str">
        <f t="shared" si="14"/>
        <v>'Do_you_have_animals_4F__c': cds_record.get('Do_you_have_animals_4F__c'),</v>
      </c>
    </row>
    <row r="155" spans="1:9" x14ac:dyDescent="0.4">
      <c r="A155" t="s">
        <v>164</v>
      </c>
      <c r="B155" t="str">
        <f t="shared" si="10"/>
        <v>Do_you_have_animals_3F__c,</v>
      </c>
      <c r="C155" t="s">
        <v>6</v>
      </c>
      <c r="D155" t="b">
        <v>1</v>
      </c>
      <c r="E155" t="s">
        <v>215</v>
      </c>
      <c r="F155" t="str">
        <f t="shared" si="11"/>
        <v>Do_you_have_animals_3F__c TEXT,</v>
      </c>
      <c r="G155" t="str">
        <f t="shared" si="12"/>
        <v>%(Do_you_have_animals_3F__c)s,</v>
      </c>
      <c r="H155" t="str">
        <f t="shared" si="13"/>
        <v>Do_you_have_animals_3F__c = Excluded.Do_you_have_animals_3F__c,</v>
      </c>
      <c r="I155" t="str">
        <f t="shared" si="14"/>
        <v>'Do_you_have_animals_3F__c': cds_record.get('Do_you_have_animals_3F__c'),</v>
      </c>
    </row>
    <row r="156" spans="1:9" x14ac:dyDescent="0.4">
      <c r="A156" t="s">
        <v>165</v>
      </c>
      <c r="B156" t="str">
        <f t="shared" si="10"/>
        <v>Types_of_crops_grown_1_type_F__c,</v>
      </c>
      <c r="C156" t="s">
        <v>6</v>
      </c>
      <c r="D156" t="b">
        <v>1</v>
      </c>
      <c r="E156" t="s">
        <v>215</v>
      </c>
      <c r="F156" t="str">
        <f t="shared" si="11"/>
        <v>Types_of_crops_grown_1_type_F__c TEXT,</v>
      </c>
      <c r="G156" t="str">
        <f t="shared" si="12"/>
        <v>%(Types_of_crops_grown_1_type_F__c)s,</v>
      </c>
      <c r="H156" t="str">
        <f t="shared" si="13"/>
        <v>Types_of_crops_grown_1_type_F__c = Excluded.Types_of_crops_grown_1_type_F__c,</v>
      </c>
      <c r="I156" t="str">
        <f t="shared" si="14"/>
        <v>'Types_of_crops_grown_1_type_F__c': cds_record.get('Types_of_crops_grown_1_type_F__c'),</v>
      </c>
    </row>
    <row r="157" spans="1:9" x14ac:dyDescent="0.4">
      <c r="A157" t="s">
        <v>166</v>
      </c>
      <c r="B157" t="str">
        <f t="shared" si="10"/>
        <v>Type_of_fruits_and_vegetables_grown_4F__c,</v>
      </c>
      <c r="C157" t="s">
        <v>6</v>
      </c>
      <c r="D157" t="b">
        <v>1</v>
      </c>
      <c r="E157" t="s">
        <v>215</v>
      </c>
      <c r="F157" t="str">
        <f t="shared" si="11"/>
        <v>Type_of_fruits_and_vegetables_grown_4F__c TEXT,</v>
      </c>
      <c r="G157" t="str">
        <f t="shared" si="12"/>
        <v>%(Type_of_fruits_and_vegetables_grown_4F__c)s,</v>
      </c>
      <c r="H157" t="str">
        <f t="shared" si="13"/>
        <v>Type_of_fruits_and_vegetables_grown_4F__c = Excluded.Type_of_fruits_and_vegetables_grown_4F__c,</v>
      </c>
      <c r="I157" t="str">
        <f t="shared" si="14"/>
        <v>'Type_of_fruits_and_vegetables_grown_4F__c': cds_record.get('Type_of_fruits_and_vegetables_grown_4F__c'),</v>
      </c>
    </row>
    <row r="158" spans="1:9" x14ac:dyDescent="0.4">
      <c r="A158" t="s">
        <v>167</v>
      </c>
      <c r="B158" t="str">
        <f t="shared" si="10"/>
        <v>Type_of_fruits_and_vegetables_grown_0F__c,</v>
      </c>
      <c r="C158" t="s">
        <v>6</v>
      </c>
      <c r="D158" t="b">
        <v>1</v>
      </c>
      <c r="E158" t="s">
        <v>215</v>
      </c>
      <c r="F158" t="str">
        <f t="shared" si="11"/>
        <v>Type_of_fruits_and_vegetables_grown_0F__c TEXT,</v>
      </c>
      <c r="G158" t="str">
        <f t="shared" si="12"/>
        <v>%(Type_of_fruits_and_vegetables_grown_0F__c)s,</v>
      </c>
      <c r="H158" t="str">
        <f t="shared" si="13"/>
        <v>Type_of_fruits_and_vegetables_grown_0F__c = Excluded.Type_of_fruits_and_vegetables_grown_0F__c,</v>
      </c>
      <c r="I158" t="str">
        <f t="shared" si="14"/>
        <v>'Type_of_fruits_and_vegetables_grown_0F__c': cds_record.get('Type_of_fruits_and_vegetables_grown_0F__c'),</v>
      </c>
    </row>
    <row r="159" spans="1:9" x14ac:dyDescent="0.4">
      <c r="A159" t="s">
        <v>168</v>
      </c>
      <c r="B159" t="str">
        <f t="shared" si="10"/>
        <v>CDS1Tracker__c,</v>
      </c>
      <c r="C159" t="s">
        <v>27</v>
      </c>
      <c r="D159" t="b">
        <v>1</v>
      </c>
      <c r="E159" t="s">
        <v>215</v>
      </c>
      <c r="F159" t="str">
        <f t="shared" si="11"/>
        <v>CDS1Tracker__c TEXT,</v>
      </c>
      <c r="G159" t="str">
        <f t="shared" si="12"/>
        <v>%(CDS1Tracker__c)s,</v>
      </c>
      <c r="H159" t="str">
        <f t="shared" si="13"/>
        <v>CDS1Tracker__c = Excluded.CDS1Tracker__c,</v>
      </c>
      <c r="I159" t="str">
        <f t="shared" si="14"/>
        <v>'CDS1Tracker__c': cds_record.get('CDS1Tracker__c'),</v>
      </c>
    </row>
    <row r="160" spans="1:9" x14ac:dyDescent="0.4">
      <c r="A160" t="s">
        <v>169</v>
      </c>
      <c r="B160" t="str">
        <f t="shared" si="10"/>
        <v>Birth_Date__c,</v>
      </c>
      <c r="C160" t="s">
        <v>27</v>
      </c>
      <c r="D160" t="b">
        <v>1</v>
      </c>
      <c r="E160" t="s">
        <v>215</v>
      </c>
      <c r="F160" t="str">
        <f t="shared" si="11"/>
        <v>Birth_Date__c TEXT,</v>
      </c>
      <c r="G160" t="str">
        <f t="shared" si="12"/>
        <v>%(Birth_Date__c)s,</v>
      </c>
      <c r="H160" t="str">
        <f t="shared" si="13"/>
        <v>Birth_Date__c = Excluded.Birth_Date__c,</v>
      </c>
      <c r="I160" t="str">
        <f t="shared" si="14"/>
        <v>'Birth_Date__c': cds_record.get('Birth_Date__c'),</v>
      </c>
    </row>
    <row r="161" spans="1:9" x14ac:dyDescent="0.4">
      <c r="A161" t="s">
        <v>170</v>
      </c>
      <c r="B161" t="str">
        <f t="shared" si="10"/>
        <v>Date_of_Birth_46_55yrs_F__c,</v>
      </c>
      <c r="C161" t="s">
        <v>6</v>
      </c>
      <c r="D161" t="b">
        <v>1</v>
      </c>
      <c r="E161" t="s">
        <v>215</v>
      </c>
      <c r="F161" t="str">
        <f t="shared" si="11"/>
        <v>Date_of_Birth_46_55yrs_F__c TEXT,</v>
      </c>
      <c r="G161" t="str">
        <f t="shared" si="12"/>
        <v>%(Date_of_Birth_46_55yrs_F__c)s,</v>
      </c>
      <c r="H161" t="str">
        <f t="shared" si="13"/>
        <v>Date_of_Birth_46_55yrs_F__c = Excluded.Date_of_Birth_46_55yrs_F__c,</v>
      </c>
      <c r="I161" t="str">
        <f t="shared" si="14"/>
        <v>'Date_of_Birth_46_55yrs_F__c': cds_record.get('Date_of_Birth_46_55yrs_F__c'),</v>
      </c>
    </row>
    <row r="162" spans="1:9" x14ac:dyDescent="0.4">
      <c r="A162" t="s">
        <v>171</v>
      </c>
      <c r="B162" t="str">
        <f t="shared" si="10"/>
        <v>Date_of_Birth_older_than_55yrs_F__c,</v>
      </c>
      <c r="C162" t="s">
        <v>6</v>
      </c>
      <c r="D162" t="b">
        <v>1</v>
      </c>
      <c r="E162" t="s">
        <v>215</v>
      </c>
      <c r="F162" t="str">
        <f t="shared" si="11"/>
        <v>Date_of_Birth_older_than_55yrs_F__c TEXT,</v>
      </c>
      <c r="G162" t="str">
        <f t="shared" si="12"/>
        <v>%(Date_of_Birth_older_than_55yrs_F__c)s,</v>
      </c>
      <c r="H162" t="str">
        <f t="shared" si="13"/>
        <v>Date_of_Birth_older_than_55yrs_F__c = Excluded.Date_of_Birth_older_than_55yrs_F__c,</v>
      </c>
      <c r="I162" t="str">
        <f t="shared" si="14"/>
        <v>'Date_of_Birth_older_than_55yrs_F__c': cds_record.get('Date_of_Birth_older_than_55yrs_F__c'),</v>
      </c>
    </row>
    <row r="163" spans="1:9" x14ac:dyDescent="0.4">
      <c r="A163" t="s">
        <v>172</v>
      </c>
      <c r="B163" t="str">
        <f t="shared" si="10"/>
        <v>Hear_about_SunCulture_pumps_Online_F__c,</v>
      </c>
      <c r="C163" t="s">
        <v>6</v>
      </c>
      <c r="D163" t="b">
        <v>1</v>
      </c>
      <c r="E163" t="s">
        <v>215</v>
      </c>
      <c r="F163" t="str">
        <f t="shared" si="11"/>
        <v>Hear_about_SunCulture_pumps_Online_F__c TEXT,</v>
      </c>
      <c r="G163" t="str">
        <f t="shared" si="12"/>
        <v>%(Hear_about_SunCulture_pumps_Online_F__c)s,</v>
      </c>
      <c r="H163" t="str">
        <f t="shared" si="13"/>
        <v>Hear_about_SunCulture_pumps_Online_F__c = Excluded.Hear_about_SunCulture_pumps_Online_F__c,</v>
      </c>
      <c r="I163" t="str">
        <f t="shared" si="14"/>
        <v>'Hear_about_SunCulture_pumps_Online_F__c': cds_record.get('Hear_about_SunCulture_pumps_Online_F__c'),</v>
      </c>
    </row>
    <row r="164" spans="1:9" x14ac:dyDescent="0.4">
      <c r="A164" t="s">
        <v>173</v>
      </c>
      <c r="B164" t="str">
        <f t="shared" si="10"/>
        <v>Hear_about_SunCulture_pumps_Radio_F__c,</v>
      </c>
      <c r="C164" t="s">
        <v>6</v>
      </c>
      <c r="D164" t="b">
        <v>1</v>
      </c>
      <c r="E164" t="s">
        <v>215</v>
      </c>
      <c r="F164" t="str">
        <f t="shared" si="11"/>
        <v>Hear_about_SunCulture_pumps_Radio_F__c TEXT,</v>
      </c>
      <c r="G164" t="str">
        <f t="shared" si="12"/>
        <v>%(Hear_about_SunCulture_pumps_Radio_F__c)s,</v>
      </c>
      <c r="H164" t="str">
        <f t="shared" si="13"/>
        <v>Hear_about_SunCulture_pumps_Radio_F__c = Excluded.Hear_about_SunCulture_pumps_Radio_F__c,</v>
      </c>
      <c r="I164" t="str">
        <f t="shared" si="14"/>
        <v>'Hear_about_SunCulture_pumps_Radio_F__c': cds_record.get('Hear_about_SunCulture_pumps_Radio_F__c'),</v>
      </c>
    </row>
    <row r="165" spans="1:9" x14ac:dyDescent="0.4">
      <c r="A165" t="s">
        <v>174</v>
      </c>
      <c r="B165" t="str">
        <f t="shared" si="10"/>
        <v>Other_Sources_of_HH_Income_Pension_F__c,</v>
      </c>
      <c r="C165" t="s">
        <v>6</v>
      </c>
      <c r="D165" t="b">
        <v>1</v>
      </c>
      <c r="E165" t="s">
        <v>215</v>
      </c>
      <c r="F165" t="str">
        <f t="shared" si="11"/>
        <v>Other_Sources_of_HH_Income_Pension_F__c TEXT,</v>
      </c>
      <c r="G165" t="str">
        <f t="shared" si="12"/>
        <v>%(Other_Sources_of_HH_Income_Pension_F__c)s,</v>
      </c>
      <c r="H165" t="str">
        <f t="shared" si="13"/>
        <v>Other_Sources_of_HH_Income_Pension_F__c = Excluded.Other_Sources_of_HH_Income_Pension_F__c,</v>
      </c>
      <c r="I165" t="str">
        <f t="shared" si="14"/>
        <v>'Other_Sources_of_HH_Income_Pension_F__c': cds_record.get('Other_Sources_of_HH_Income_Pension_F__c'),</v>
      </c>
    </row>
    <row r="166" spans="1:9" x14ac:dyDescent="0.4">
      <c r="A166" t="s">
        <v>175</v>
      </c>
      <c r="B166" t="str">
        <f t="shared" si="10"/>
        <v>Date_of_Birth__c,</v>
      </c>
      <c r="C166" t="s">
        <v>16</v>
      </c>
      <c r="D166" t="b">
        <v>1</v>
      </c>
      <c r="E166" t="s">
        <v>217</v>
      </c>
      <c r="F166" t="str">
        <f t="shared" si="11"/>
        <v>Date_of_Birth__c TIMESTAMP,</v>
      </c>
      <c r="G166" t="str">
        <f t="shared" si="12"/>
        <v>%(Date_of_Birth__c)s,</v>
      </c>
      <c r="H166" t="str">
        <f t="shared" si="13"/>
        <v>Date_of_Birth__c = Excluded.Date_of_Birth__c,</v>
      </c>
      <c r="I166" t="str">
        <f t="shared" si="14"/>
        <v>'Date_of_Birth__c': cds_record.get('Date_of_Birth__c'),</v>
      </c>
    </row>
    <row r="167" spans="1:9" x14ac:dyDescent="0.4">
      <c r="A167" t="s">
        <v>176</v>
      </c>
      <c r="B167" t="str">
        <f t="shared" si="10"/>
        <v>Email__c,</v>
      </c>
      <c r="C167" t="s">
        <v>177</v>
      </c>
      <c r="D167" t="b">
        <v>1</v>
      </c>
      <c r="E167" t="s">
        <v>213</v>
      </c>
      <c r="F167" t="str">
        <f t="shared" si="11"/>
        <v>Email__c VARCHAR(255),</v>
      </c>
      <c r="G167" t="str">
        <f t="shared" si="12"/>
        <v>%(Email__c)s,</v>
      </c>
      <c r="H167" t="str">
        <f t="shared" si="13"/>
        <v>Email__c = Excluded.Email__c,</v>
      </c>
      <c r="I167" t="str">
        <f t="shared" si="14"/>
        <v>'Email__c': cds_record.get('Email__c'),</v>
      </c>
    </row>
    <row r="168" spans="1:9" x14ac:dyDescent="0.4">
      <c r="A168" t="s">
        <v>178</v>
      </c>
      <c r="B168" t="str">
        <f t="shared" si="10"/>
        <v>National_ID_Number__c,</v>
      </c>
      <c r="C168" t="s">
        <v>8</v>
      </c>
      <c r="D168" t="b">
        <v>1</v>
      </c>
      <c r="E168" t="s">
        <v>215</v>
      </c>
      <c r="F168" t="str">
        <f t="shared" si="11"/>
        <v>National_ID_Number__c TEXT,</v>
      </c>
      <c r="G168" t="str">
        <f t="shared" si="12"/>
        <v>%(National_ID_Number__c)s,</v>
      </c>
      <c r="H168" t="str">
        <f t="shared" si="13"/>
        <v>National_ID_Number__c = Excluded.National_ID_Number__c,</v>
      </c>
      <c r="I168" t="str">
        <f t="shared" si="14"/>
        <v>'National_ID_Number__c': cds_record.get('National_ID_Number__c'),</v>
      </c>
    </row>
    <row r="169" spans="1:9" x14ac:dyDescent="0.4">
      <c r="A169" t="s">
        <v>179</v>
      </c>
      <c r="B169" t="str">
        <f t="shared" si="10"/>
        <v>Gender__c,</v>
      </c>
      <c r="C169" t="s">
        <v>27</v>
      </c>
      <c r="D169" t="b">
        <v>1</v>
      </c>
      <c r="E169" t="s">
        <v>215</v>
      </c>
      <c r="F169" t="str">
        <f t="shared" si="11"/>
        <v>Gender__c TEXT,</v>
      </c>
      <c r="G169" t="str">
        <f t="shared" si="12"/>
        <v>%(Gender__c)s,</v>
      </c>
      <c r="H169" t="str">
        <f t="shared" si="13"/>
        <v>Gender__c = Excluded.Gender__c,</v>
      </c>
      <c r="I169" t="str">
        <f t="shared" si="14"/>
        <v>'Gender__c': cds_record.get('Gender__c'),</v>
      </c>
    </row>
    <row r="170" spans="1:9" x14ac:dyDescent="0.4">
      <c r="A170" t="s">
        <v>180</v>
      </c>
      <c r="B170" t="str">
        <f t="shared" si="10"/>
        <v>Mobile_Number__c,</v>
      </c>
      <c r="C170" t="s">
        <v>29</v>
      </c>
      <c r="D170" t="b">
        <v>1</v>
      </c>
      <c r="E170" t="s">
        <v>215</v>
      </c>
      <c r="F170" t="str">
        <f t="shared" si="11"/>
        <v>Mobile_Number__c TEXT,</v>
      </c>
      <c r="G170" t="str">
        <f t="shared" si="12"/>
        <v>%(Mobile_Number__c)s,</v>
      </c>
      <c r="H170" t="str">
        <f t="shared" si="13"/>
        <v>Mobile_Number__c = Excluded.Mobile_Number__c,</v>
      </c>
      <c r="I170" t="str">
        <f t="shared" si="14"/>
        <v>'Mobile_Number__c': cds_record.get('Mobile_Number__c'),</v>
      </c>
    </row>
    <row r="171" spans="1:9" x14ac:dyDescent="0.4">
      <c r="A171" t="s">
        <v>181</v>
      </c>
      <c r="B171" t="str">
        <f t="shared" si="10"/>
        <v>Working_age_adults_F__c,</v>
      </c>
      <c r="C171" t="s">
        <v>20</v>
      </c>
      <c r="D171" t="b">
        <v>1</v>
      </c>
      <c r="E171" t="s">
        <v>216</v>
      </c>
      <c r="F171" t="str">
        <f t="shared" si="11"/>
        <v>Working_age_adults_F__c DOUBLE PRECISION,</v>
      </c>
      <c r="G171" t="str">
        <f t="shared" si="12"/>
        <v>%(Working_age_adults_F__c)s,</v>
      </c>
      <c r="H171" t="str">
        <f t="shared" si="13"/>
        <v>Working_age_adults_F__c = Excluded.Working_age_adults_F__c,</v>
      </c>
      <c r="I171" t="str">
        <f t="shared" si="14"/>
        <v>'Working_age_adults_F__c': cds_record.get('Working_age_adults_F__c'),</v>
      </c>
    </row>
    <row r="172" spans="1:9" x14ac:dyDescent="0.4">
      <c r="A172" t="s">
        <v>182</v>
      </c>
      <c r="B172" t="str">
        <f t="shared" si="10"/>
        <v>Harvest_Cycle_F__c,</v>
      </c>
      <c r="C172" t="s">
        <v>20</v>
      </c>
      <c r="D172" t="b">
        <v>1</v>
      </c>
      <c r="E172" t="s">
        <v>216</v>
      </c>
      <c r="F172" t="str">
        <f t="shared" si="11"/>
        <v>Harvest_Cycle_F__c DOUBLE PRECISION,</v>
      </c>
      <c r="G172" t="str">
        <f t="shared" si="12"/>
        <v>%(Harvest_Cycle_F__c)s,</v>
      </c>
      <c r="H172" t="str">
        <f t="shared" si="13"/>
        <v>Harvest_Cycle_F__c = Excluded.Harvest_Cycle_F__c,</v>
      </c>
      <c r="I172" t="str">
        <f t="shared" si="14"/>
        <v>'Harvest_Cycle_F__c': cds_record.get('Harvest_Cycle_F__c'),</v>
      </c>
    </row>
    <row r="173" spans="1:9" x14ac:dyDescent="0.4">
      <c r="A173" t="s">
        <v>183</v>
      </c>
      <c r="B173" t="str">
        <f t="shared" si="10"/>
        <v>RM_Name__c,</v>
      </c>
      <c r="C173" t="s">
        <v>4</v>
      </c>
      <c r="D173" t="b">
        <v>1</v>
      </c>
      <c r="E173" t="s">
        <v>215</v>
      </c>
      <c r="F173" t="str">
        <f t="shared" si="11"/>
        <v>RM_Name__c TEXT,</v>
      </c>
      <c r="G173" t="str">
        <f t="shared" si="12"/>
        <v>%(RM_Name__c)s,</v>
      </c>
      <c r="H173" t="str">
        <f t="shared" si="13"/>
        <v>RM_Name__c = Excluded.RM_Name__c,</v>
      </c>
      <c r="I173" t="str">
        <f t="shared" si="14"/>
        <v>'RM_Name__c': cds_record.get('RM_Name__c'),</v>
      </c>
    </row>
    <row r="174" spans="1:9" x14ac:dyDescent="0.4">
      <c r="A174" t="s">
        <v>184</v>
      </c>
      <c r="B174" t="str">
        <f t="shared" si="10"/>
        <v>cds_source__c,</v>
      </c>
      <c r="C174" t="s">
        <v>8</v>
      </c>
      <c r="D174" t="b">
        <v>1</v>
      </c>
      <c r="E174" t="s">
        <v>215</v>
      </c>
      <c r="F174" t="str">
        <f t="shared" si="11"/>
        <v>cds_source__c TEXT,</v>
      </c>
      <c r="G174" t="str">
        <f t="shared" si="12"/>
        <v>%(cds_source__c)s,</v>
      </c>
      <c r="H174" t="str">
        <f t="shared" si="13"/>
        <v>cds_source__c = Excluded.cds_source__c,</v>
      </c>
      <c r="I174" t="str">
        <f t="shared" si="14"/>
        <v>'cds_source__c': cds_record.get('cds_source__c'),</v>
      </c>
    </row>
    <row r="175" spans="1:9" x14ac:dyDescent="0.4">
      <c r="A175" t="s">
        <v>185</v>
      </c>
      <c r="B175" t="str">
        <f t="shared" si="10"/>
        <v>Did_you_previously_own_a_water_pump__c,</v>
      </c>
      <c r="C175" t="s">
        <v>27</v>
      </c>
      <c r="D175" t="b">
        <v>1</v>
      </c>
      <c r="E175" t="s">
        <v>215</v>
      </c>
      <c r="F175" t="str">
        <f t="shared" si="11"/>
        <v>Did_you_previously_own_a_water_pump__c TEXT,</v>
      </c>
      <c r="G175" t="str">
        <f t="shared" si="12"/>
        <v>%(Did_you_previously_own_a_water_pump__c)s,</v>
      </c>
      <c r="H175" t="str">
        <f t="shared" si="13"/>
        <v>Did_you_previously_own_a_water_pump__c = Excluded.Did_you_previously_own_a_water_pump__c,</v>
      </c>
      <c r="I175" t="str">
        <f t="shared" si="14"/>
        <v>'Did_you_previously_own_a_water_pump__c': cds_record.get('Did_you_previously_own_a_water_pump__c'),</v>
      </c>
    </row>
    <row r="176" spans="1:9" x14ac:dyDescent="0.4">
      <c r="A176" t="s">
        <v>186</v>
      </c>
      <c r="B176" t="str">
        <f t="shared" si="10"/>
        <v>carbon_credit_which_pump_type__c,</v>
      </c>
      <c r="C176" t="s">
        <v>27</v>
      </c>
      <c r="D176" t="b">
        <v>1</v>
      </c>
      <c r="E176" t="s">
        <v>215</v>
      </c>
      <c r="F176" t="str">
        <f t="shared" si="11"/>
        <v>carbon_credit_which_pump_type__c TEXT,</v>
      </c>
      <c r="G176" t="str">
        <f t="shared" si="12"/>
        <v>%(carbon_credit_which_pump_type__c)s,</v>
      </c>
      <c r="H176" t="str">
        <f t="shared" si="13"/>
        <v>carbon_credit_which_pump_type__c = Excluded.carbon_credit_which_pump_type__c,</v>
      </c>
      <c r="I176" t="str">
        <f t="shared" si="14"/>
        <v>'carbon_credit_which_pump_type__c': cds_record.get('carbon_credit_which_pump_type__c'),</v>
      </c>
    </row>
    <row r="177" spans="1:9" x14ac:dyDescent="0.4">
      <c r="A177" t="s">
        <v>187</v>
      </c>
      <c r="B177" t="str">
        <f t="shared" si="10"/>
        <v>CDS1_Date__c,</v>
      </c>
      <c r="C177" t="s">
        <v>10</v>
      </c>
      <c r="D177" t="b">
        <v>1</v>
      </c>
      <c r="E177" t="s">
        <v>217</v>
      </c>
      <c r="F177" t="str">
        <f t="shared" si="11"/>
        <v>CDS1_Date__c TIMESTAMP,</v>
      </c>
      <c r="G177" t="str">
        <f t="shared" si="12"/>
        <v>%(CDS1_Date__c)s,</v>
      </c>
      <c r="H177" t="str">
        <f t="shared" si="13"/>
        <v>CDS1_Date__c = Excluded.CDS1_Date__c,</v>
      </c>
      <c r="I177" t="str">
        <f t="shared" si="14"/>
        <v>'CDS1_Date__c': cds_record.get('CDS1_Date__c'),</v>
      </c>
    </row>
    <row r="178" spans="1:9" x14ac:dyDescent="0.4">
      <c r="A178" t="s">
        <v>188</v>
      </c>
      <c r="B178" t="str">
        <f t="shared" si="10"/>
        <v>CDS2_Date__c,</v>
      </c>
      <c r="C178" t="s">
        <v>10</v>
      </c>
      <c r="D178" t="b">
        <v>1</v>
      </c>
      <c r="E178" t="s">
        <v>217</v>
      </c>
      <c r="F178" t="str">
        <f t="shared" si="11"/>
        <v>CDS2_Date__c TIMESTAMP,</v>
      </c>
      <c r="G178" t="str">
        <f t="shared" si="12"/>
        <v>%(CDS2_Date__c)s,</v>
      </c>
      <c r="H178" t="str">
        <f t="shared" si="13"/>
        <v>CDS2_Date__c = Excluded.CDS2_Date__c,</v>
      </c>
      <c r="I178" t="str">
        <f t="shared" si="14"/>
        <v>'CDS2_Date__c': cds_record.get('CDS2_Date__c'),</v>
      </c>
    </row>
    <row r="179" spans="1:9" x14ac:dyDescent="0.4">
      <c r="A179" t="s">
        <v>189</v>
      </c>
      <c r="B179" t="str">
        <f t="shared" si="10"/>
        <v>Number_of_Outstanding_Loans__c,</v>
      </c>
      <c r="C179" t="s">
        <v>20</v>
      </c>
      <c r="D179" t="b">
        <v>1</v>
      </c>
      <c r="E179" t="s">
        <v>216</v>
      </c>
      <c r="F179" t="str">
        <f t="shared" si="11"/>
        <v>Number_of_Outstanding_Loans__c DOUBLE PRECISION,</v>
      </c>
      <c r="G179" t="str">
        <f t="shared" si="12"/>
        <v>%(Number_of_Outstanding_Loans__c)s,</v>
      </c>
      <c r="H179" t="str">
        <f t="shared" si="13"/>
        <v>Number_of_Outstanding_Loans__c = Excluded.Number_of_Outstanding_Loans__c,</v>
      </c>
      <c r="I179" t="str">
        <f t="shared" si="14"/>
        <v>'Number_of_Outstanding_Loans__c': cds_record.get('Number_of_Outstanding_Loans__c'),</v>
      </c>
    </row>
    <row r="180" spans="1:9" x14ac:dyDescent="0.4">
      <c r="A180" t="s">
        <v>190</v>
      </c>
      <c r="B180" t="str">
        <f t="shared" si="10"/>
        <v>Depth_of_the_Water_Source__c,</v>
      </c>
      <c r="C180" t="s">
        <v>20</v>
      </c>
      <c r="D180" t="b">
        <v>1</v>
      </c>
      <c r="E180" t="s">
        <v>216</v>
      </c>
      <c r="F180" t="str">
        <f t="shared" si="11"/>
        <v>Depth_of_the_Water_Source__c DOUBLE PRECISION,</v>
      </c>
      <c r="G180" t="str">
        <f t="shared" si="12"/>
        <v>%(Depth_of_the_Water_Source__c)s,</v>
      </c>
      <c r="H180" t="str">
        <f t="shared" si="13"/>
        <v>Depth_of_the_Water_Source__c = Excluded.Depth_of_the_Water_Source__c,</v>
      </c>
      <c r="I180" t="str">
        <f t="shared" si="14"/>
        <v>'Depth_of_the_Water_Source__c': cds_record.get('Depth_of_the_Water_Source__c'),</v>
      </c>
    </row>
    <row r="181" spans="1:9" x14ac:dyDescent="0.4">
      <c r="A181" t="s">
        <v>191</v>
      </c>
      <c r="B181" t="str">
        <f t="shared" si="10"/>
        <v>Total_Income__c,</v>
      </c>
      <c r="C181" t="s">
        <v>42</v>
      </c>
      <c r="D181" t="b">
        <v>1</v>
      </c>
      <c r="E181" t="s">
        <v>216</v>
      </c>
      <c r="F181" t="str">
        <f t="shared" si="11"/>
        <v>Total_Income__c DOUBLE PRECISION,</v>
      </c>
      <c r="G181" t="str">
        <f t="shared" si="12"/>
        <v>%(Total_Income__c)s,</v>
      </c>
      <c r="H181" t="str">
        <f t="shared" si="13"/>
        <v>Total_Income__c = Excluded.Total_Income__c,</v>
      </c>
      <c r="I181" t="str">
        <f t="shared" si="14"/>
        <v>'Total_Income__c': cds_record.get('Total_Income__c'),</v>
      </c>
    </row>
    <row r="182" spans="1:9" x14ac:dyDescent="0.4">
      <c r="A182" t="s">
        <v>192</v>
      </c>
      <c r="B182" t="str">
        <f t="shared" si="10"/>
        <v>Total_Expenses__c,</v>
      </c>
      <c r="C182" t="s">
        <v>42</v>
      </c>
      <c r="D182" t="b">
        <v>1</v>
      </c>
      <c r="E182" t="s">
        <v>216</v>
      </c>
      <c r="F182" t="str">
        <f t="shared" si="11"/>
        <v>Total_Expenses__c DOUBLE PRECISION,</v>
      </c>
      <c r="G182" t="str">
        <f t="shared" si="12"/>
        <v>%(Total_Expenses__c)s,</v>
      </c>
      <c r="H182" t="str">
        <f t="shared" si="13"/>
        <v>Total_Expenses__c = Excluded.Total_Expenses__c,</v>
      </c>
      <c r="I182" t="str">
        <f t="shared" si="14"/>
        <v>'Total_Expenses__c': cds_record.get('Total_Expenses__c'),</v>
      </c>
    </row>
    <row r="183" spans="1:9" x14ac:dyDescent="0.4">
      <c r="A183" t="s">
        <v>193</v>
      </c>
      <c r="B183" t="str">
        <f t="shared" si="10"/>
        <v>Remaining_Income_after_Expenses__c,</v>
      </c>
      <c r="C183" t="s">
        <v>42</v>
      </c>
      <c r="D183" t="b">
        <v>1</v>
      </c>
      <c r="E183" t="s">
        <v>216</v>
      </c>
      <c r="F183" t="str">
        <f t="shared" si="11"/>
        <v>Remaining_Income_after_Expenses__c DOUBLE PRECISION,</v>
      </c>
      <c r="G183" t="str">
        <f t="shared" si="12"/>
        <v>%(Remaining_Income_after_Expenses__c)s,</v>
      </c>
      <c r="H183" t="str">
        <f t="shared" si="13"/>
        <v>Remaining_Income_after_Expenses__c = Excluded.Remaining_Income_after_Expenses__c,</v>
      </c>
      <c r="I183" t="str">
        <f t="shared" si="14"/>
        <v>'Remaining_Income_after_Expenses__c': cds_record.get('Remaining_Income_after_Expenses__c'),</v>
      </c>
    </row>
    <row r="184" spans="1:9" x14ac:dyDescent="0.4">
      <c r="A184" t="s">
        <v>194</v>
      </c>
      <c r="B184" t="str">
        <f t="shared" si="10"/>
        <v>Lead_Record__c,</v>
      </c>
      <c r="C184" t="s">
        <v>4</v>
      </c>
      <c r="D184" t="b">
        <v>1</v>
      </c>
      <c r="E184" t="s">
        <v>215</v>
      </c>
      <c r="F184" t="str">
        <f t="shared" si="11"/>
        <v>Lead_Record__c TEXT,</v>
      </c>
      <c r="G184" t="str">
        <f t="shared" si="12"/>
        <v>%(Lead_Record__c)s,</v>
      </c>
      <c r="H184" t="str">
        <f t="shared" si="13"/>
        <v>Lead_Record__c = Excluded.Lead_Record__c,</v>
      </c>
      <c r="I184" t="str">
        <f t="shared" si="14"/>
        <v>'Lead_Record__c': cds_record.get('Lead_Record__c'),</v>
      </c>
    </row>
    <row r="185" spans="1:9" x14ac:dyDescent="0.4">
      <c r="A185" t="s">
        <v>195</v>
      </c>
      <c r="B185" t="str">
        <f t="shared" si="10"/>
        <v>Creditscore__c,</v>
      </c>
      <c r="C185" t="s">
        <v>20</v>
      </c>
      <c r="D185" t="b">
        <v>1</v>
      </c>
      <c r="E185" t="s">
        <v>216</v>
      </c>
      <c r="F185" t="str">
        <f t="shared" si="11"/>
        <v>Creditscore__c DOUBLE PRECISION,</v>
      </c>
      <c r="G185" t="str">
        <f t="shared" si="12"/>
        <v>%(Creditscore__c)s,</v>
      </c>
      <c r="H185" t="str">
        <f t="shared" si="13"/>
        <v>Creditscore__c = Excluded.Creditscore__c,</v>
      </c>
      <c r="I185" t="str">
        <f t="shared" si="14"/>
        <v>'Creditscore__c': cds_record.get('Creditscore__c'),</v>
      </c>
    </row>
    <row r="186" spans="1:9" x14ac:dyDescent="0.4">
      <c r="A186" t="s">
        <v>196</v>
      </c>
      <c r="B186" t="str">
        <f t="shared" si="10"/>
        <v>Clients_County_Ug__c,</v>
      </c>
      <c r="C186" t="s">
        <v>8</v>
      </c>
      <c r="D186" t="b">
        <v>1</v>
      </c>
      <c r="E186" t="s">
        <v>215</v>
      </c>
      <c r="F186" t="str">
        <f t="shared" si="11"/>
        <v>Clients_County_Ug__c TEXT,</v>
      </c>
      <c r="G186" t="str">
        <f t="shared" si="12"/>
        <v>%(Clients_County_Ug__c)s,</v>
      </c>
      <c r="H186" t="str">
        <f t="shared" si="13"/>
        <v>Clients_County_Ug__c = Excluded.Clients_County_Ug__c,</v>
      </c>
      <c r="I186" t="str">
        <f t="shared" si="14"/>
        <v>'Clients_County_Ug__c': cds_record.get('Clients_County_Ug__c'),</v>
      </c>
    </row>
    <row r="187" spans="1:9" x14ac:dyDescent="0.4">
      <c r="A187" t="s">
        <v>197</v>
      </c>
      <c r="B187" t="str">
        <f t="shared" si="10"/>
        <v>Clients_District__c,</v>
      </c>
      <c r="C187" t="s">
        <v>8</v>
      </c>
      <c r="D187" t="b">
        <v>1</v>
      </c>
      <c r="E187" t="s">
        <v>215</v>
      </c>
      <c r="F187" t="str">
        <f t="shared" si="11"/>
        <v>Clients_District__c TEXT,</v>
      </c>
      <c r="G187" t="str">
        <f t="shared" si="12"/>
        <v>%(Clients_District__c)s,</v>
      </c>
      <c r="H187" t="str">
        <f t="shared" si="13"/>
        <v>Clients_District__c = Excluded.Clients_District__c,</v>
      </c>
      <c r="I187" t="str">
        <f t="shared" si="14"/>
        <v>'Clients_District__c': cds_record.get('Clients_District__c'),</v>
      </c>
    </row>
    <row r="188" spans="1:9" hidden="1" x14ac:dyDescent="0.4">
      <c r="A188" t="s">
        <v>198</v>
      </c>
      <c r="B188" t="str">
        <f t="shared" si="10"/>
        <v>Clients_Location__Latitude__s,</v>
      </c>
      <c r="C188" t="s">
        <v>20</v>
      </c>
      <c r="D188" t="b">
        <v>0</v>
      </c>
      <c r="E188" t="s">
        <v>215</v>
      </c>
      <c r="F188" t="str">
        <f t="shared" si="11"/>
        <v>Clients_Location__Latitude__s TEXT,</v>
      </c>
      <c r="G188" t="str">
        <f t="shared" si="12"/>
        <v>%(Clients_Location__Latitude__s)s,</v>
      </c>
      <c r="H188" t="str">
        <f t="shared" si="13"/>
        <v>Clients_Location__Latitude__s = Excluded.Clients_Location__Latitude__s,</v>
      </c>
      <c r="I188" t="str">
        <f t="shared" si="14"/>
        <v>'Clients_Location__Latitude__s': cds_record.get('Clients_Location__Latitude__s'),</v>
      </c>
    </row>
    <row r="189" spans="1:9" hidden="1" x14ac:dyDescent="0.4">
      <c r="A189" t="s">
        <v>199</v>
      </c>
      <c r="B189" t="str">
        <f t="shared" si="10"/>
        <v>Clients_Location__Longitude__s,</v>
      </c>
      <c r="C189" t="s">
        <v>20</v>
      </c>
      <c r="D189" t="b">
        <v>0</v>
      </c>
      <c r="E189" t="s">
        <v>215</v>
      </c>
      <c r="F189" t="str">
        <f t="shared" si="11"/>
        <v>Clients_Location__Longitude__s TEXT,</v>
      </c>
      <c r="G189" t="str">
        <f t="shared" si="12"/>
        <v>%(Clients_Location__Longitude__s)s,</v>
      </c>
      <c r="H189" t="str">
        <f t="shared" si="13"/>
        <v>Clients_Location__Longitude__s = Excluded.Clients_Location__Longitude__s,</v>
      </c>
      <c r="I189" t="str">
        <f t="shared" si="14"/>
        <v>'Clients_Location__Longitude__s': cds_record.get('Clients_Location__Longitude__s'),</v>
      </c>
    </row>
    <row r="190" spans="1:9" hidden="1" x14ac:dyDescent="0.4">
      <c r="A190" s="2" t="s">
        <v>200</v>
      </c>
      <c r="B190" s="2" t="str">
        <f t="shared" si="10"/>
        <v>Clients_Location__c,</v>
      </c>
      <c r="C190" s="2" t="s">
        <v>201</v>
      </c>
      <c r="D190" s="2" t="b">
        <v>0</v>
      </c>
      <c r="E190" s="2" t="s">
        <v>215</v>
      </c>
      <c r="F190" s="2" t="str">
        <f t="shared" si="11"/>
        <v>Clients_Location__c TEXT,</v>
      </c>
      <c r="G190" s="2" t="str">
        <f t="shared" si="12"/>
        <v>%(Clients_Location__c)s,</v>
      </c>
      <c r="H190" s="2" t="str">
        <f t="shared" si="13"/>
        <v>Clients_Location__c = Excluded.Clients_Location__c,</v>
      </c>
      <c r="I190" s="2" t="str">
        <f t="shared" si="14"/>
        <v>'Clients_Location__c': cds_record.get('Clients_Location__c'),</v>
      </c>
    </row>
    <row r="191" spans="1:9" x14ac:dyDescent="0.4">
      <c r="A191" t="s">
        <v>202</v>
      </c>
      <c r="B191" t="str">
        <f t="shared" si="10"/>
        <v>Clients_Nearest_Landmark__c,</v>
      </c>
      <c r="C191" t="s">
        <v>8</v>
      </c>
      <c r="D191" t="b">
        <v>1</v>
      </c>
      <c r="E191" t="s">
        <v>215</v>
      </c>
      <c r="F191" t="str">
        <f t="shared" si="11"/>
        <v>Clients_Nearest_Landmark__c TEXT,</v>
      </c>
      <c r="G191" t="str">
        <f t="shared" si="12"/>
        <v>%(Clients_Nearest_Landmark__c)s,</v>
      </c>
      <c r="H191" t="str">
        <f t="shared" si="13"/>
        <v>Clients_Nearest_Landmark__c = Excluded.Clients_Nearest_Landmark__c,</v>
      </c>
      <c r="I191" t="str">
        <f t="shared" si="14"/>
        <v>'Clients_Nearest_Landmark__c': cds_record.get('Clients_Nearest_Landmark__c'),</v>
      </c>
    </row>
    <row r="192" spans="1:9" x14ac:dyDescent="0.4">
      <c r="A192" t="s">
        <v>203</v>
      </c>
      <c r="B192" t="str">
        <f t="shared" si="10"/>
        <v>Clients_Parish__c,</v>
      </c>
      <c r="C192" t="s">
        <v>8</v>
      </c>
      <c r="D192" t="b">
        <v>1</v>
      </c>
      <c r="E192" t="s">
        <v>215</v>
      </c>
      <c r="F192" t="str">
        <f t="shared" si="11"/>
        <v>Clients_Parish__c TEXT,</v>
      </c>
      <c r="G192" t="str">
        <f t="shared" si="12"/>
        <v>%(Clients_Parish__c)s,</v>
      </c>
      <c r="H192" t="str">
        <f t="shared" si="13"/>
        <v>Clients_Parish__c = Excluded.Clients_Parish__c,</v>
      </c>
      <c r="I192" t="str">
        <f t="shared" si="14"/>
        <v>'Clients_Parish__c': cds_record.get('Clients_Parish__c'),</v>
      </c>
    </row>
    <row r="193" spans="1:9" x14ac:dyDescent="0.4">
      <c r="A193" t="s">
        <v>204</v>
      </c>
      <c r="B193" t="str">
        <f t="shared" si="10"/>
        <v>Clients_Sub_County__c,</v>
      </c>
      <c r="C193" t="s">
        <v>8</v>
      </c>
      <c r="D193" t="b">
        <v>1</v>
      </c>
      <c r="E193" t="s">
        <v>215</v>
      </c>
      <c r="F193" t="str">
        <f t="shared" si="11"/>
        <v>Clients_Sub_County__c TEXT,</v>
      </c>
      <c r="G193" t="str">
        <f t="shared" si="12"/>
        <v>%(Clients_Sub_County__c)s,</v>
      </c>
      <c r="H193" t="str">
        <f t="shared" si="13"/>
        <v>Clients_Sub_County__c = Excluded.Clients_Sub_County__c,</v>
      </c>
      <c r="I193" t="str">
        <f t="shared" si="14"/>
        <v>'Clients_Sub_County__c': cds_record.get('Clients_Sub_County__c'),</v>
      </c>
    </row>
    <row r="194" spans="1:9" x14ac:dyDescent="0.4">
      <c r="A194" t="s">
        <v>205</v>
      </c>
      <c r="B194" t="str">
        <f t="shared" si="10"/>
        <v>Clients_Village_ug__c,</v>
      </c>
      <c r="C194" t="s">
        <v>8</v>
      </c>
      <c r="D194" t="b">
        <v>1</v>
      </c>
      <c r="E194" t="s">
        <v>215</v>
      </c>
      <c r="F194" t="str">
        <f t="shared" si="11"/>
        <v>Clients_Village_ug__c TEXT,</v>
      </c>
      <c r="G194" t="str">
        <f t="shared" si="12"/>
        <v>%(Clients_Village_ug__c)s,</v>
      </c>
      <c r="H194" t="str">
        <f t="shared" si="13"/>
        <v>Clients_Village_ug__c = Excluded.Clients_Village_ug__c,</v>
      </c>
      <c r="I194" t="str">
        <f t="shared" si="14"/>
        <v>'Clients_Village_ug__c': cds_record.get('Clients_Village_ug__c'),</v>
      </c>
    </row>
    <row r="195" spans="1:9" x14ac:dyDescent="0.4">
      <c r="A195" t="s">
        <v>206</v>
      </c>
      <c r="B195" t="str">
        <f t="shared" ref="B195:B198" si="15">_xlfn.CONCAT(A195,",")</f>
        <v>Amount_Spent_on_Treatment_Medical__c,</v>
      </c>
      <c r="C195" t="s">
        <v>20</v>
      </c>
      <c r="D195" t="b">
        <v>1</v>
      </c>
      <c r="E195" t="s">
        <v>216</v>
      </c>
      <c r="F195" t="str">
        <f t="shared" ref="F195:F198" si="16">_xlfn.CONCAT(A195, " ", E195, ",")</f>
        <v>Amount_Spent_on_Treatment_Medical__c DOUBLE PRECISION,</v>
      </c>
      <c r="G195" t="str">
        <f t="shared" ref="G195:G198" si="17">_xlfn.CONCAT("%(",A195,")s,")</f>
        <v>%(Amount_Spent_on_Treatment_Medical__c)s,</v>
      </c>
      <c r="H195" t="str">
        <f t="shared" ref="H195:H198" si="18">_xlfn.CONCAT(A195, " = Excluded.",A195,",")</f>
        <v>Amount_Spent_on_Treatment_Medical__c = Excluded.Amount_Spent_on_Treatment_Medical__c,</v>
      </c>
      <c r="I195" t="str">
        <f t="shared" ref="I195:I198" si="19">_xlfn.CONCAT("'",A195,"': cds_record.get('",A195,"'),")</f>
        <v>'Amount_Spent_on_Treatment_Medical__c': cds_record.get('Amount_Spent_on_Treatment_Medical__c'),</v>
      </c>
    </row>
    <row r="196" spans="1:9" x14ac:dyDescent="0.4">
      <c r="A196" t="s">
        <v>207</v>
      </c>
      <c r="B196" t="str">
        <f t="shared" si="15"/>
        <v>Reason_for_decline__c,</v>
      </c>
      <c r="C196" t="s">
        <v>208</v>
      </c>
      <c r="D196" t="b">
        <v>1</v>
      </c>
      <c r="E196" t="s">
        <v>215</v>
      </c>
      <c r="F196" t="str">
        <f t="shared" si="16"/>
        <v>Reason_for_decline__c TEXT,</v>
      </c>
      <c r="G196" t="str">
        <f t="shared" si="17"/>
        <v>%(Reason_for_decline__c)s,</v>
      </c>
      <c r="H196" t="str">
        <f t="shared" si="18"/>
        <v>Reason_for_decline__c = Excluded.Reason_for_decline__c,</v>
      </c>
      <c r="I196" t="str">
        <f t="shared" si="19"/>
        <v>'Reason_for_decline__c': cds_record.get('Reason_for_decline__c'),</v>
      </c>
    </row>
    <row r="197" spans="1:9" x14ac:dyDescent="0.4">
      <c r="A197" t="s">
        <v>209</v>
      </c>
      <c r="B197" t="str">
        <f t="shared" si="15"/>
        <v>Seasonality_of_the_Water_Source__c,</v>
      </c>
      <c r="C197" t="s">
        <v>208</v>
      </c>
      <c r="D197" t="b">
        <v>1</v>
      </c>
      <c r="E197" t="s">
        <v>215</v>
      </c>
      <c r="F197" t="str">
        <f t="shared" si="16"/>
        <v>Seasonality_of_the_Water_Source__c TEXT,</v>
      </c>
      <c r="G197" t="str">
        <f t="shared" si="17"/>
        <v>%(Seasonality_of_the_Water_Source__c)s,</v>
      </c>
      <c r="H197" t="str">
        <f t="shared" si="18"/>
        <v>Seasonality_of_the_Water_Source__c = Excluded.Seasonality_of_the_Water_Source__c,</v>
      </c>
      <c r="I197" t="str">
        <f t="shared" si="19"/>
        <v>'Seasonality_of_the_Water_Source__c': cds_record.get('Seasonality_of_the_Water_Source__c'),</v>
      </c>
    </row>
    <row r="198" spans="1:9" x14ac:dyDescent="0.4">
      <c r="A198" t="s">
        <v>210</v>
      </c>
      <c r="B198" t="str">
        <f t="shared" si="15"/>
        <v>Product__c,</v>
      </c>
      <c r="C198" t="s">
        <v>27</v>
      </c>
      <c r="D198" t="b">
        <v>1</v>
      </c>
      <c r="E198" t="s">
        <v>215</v>
      </c>
      <c r="F198" t="str">
        <f t="shared" si="16"/>
        <v>Product__c TEXT,</v>
      </c>
      <c r="G198" t="str">
        <f t="shared" si="17"/>
        <v>%(Product__c)s,</v>
      </c>
      <c r="H198" t="str">
        <f t="shared" si="18"/>
        <v>Product__c = Excluded.Product__c,</v>
      </c>
      <c r="I198" t="str">
        <f t="shared" si="19"/>
        <v>'Product__c': cds_record.get('Product__c'),</v>
      </c>
    </row>
  </sheetData>
  <autoFilter ref="A1:E198" xr:uid="{F54EBBF9-23C1-4E1C-8B06-E5BAF3118DA1}">
    <filterColumn colId="3">
      <filters>
        <filter val="TRUE"/>
      </filters>
    </filterColumn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cds_fields_in_excel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nyangweso-rodgers</dc:creator>
  <cp:lastModifiedBy>Rodgers Nyangweso</cp:lastModifiedBy>
  <dcterms:created xsi:type="dcterms:W3CDTF">2025-02-11T11:04:02Z</dcterms:created>
  <dcterms:modified xsi:type="dcterms:W3CDTF">2025-02-13T06:59:56Z</dcterms:modified>
</cp:coreProperties>
</file>